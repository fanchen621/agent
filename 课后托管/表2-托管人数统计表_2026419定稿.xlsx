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  <sheet name="2b填表（第一节课）" sheetId="2" state="hidden" r:id="rId2"/>
    <sheet name="2b填表（第二节课）" sheetId="3" state="hidden" r:id="rId3"/>
    <sheet name="巡课表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<sst xmlns="http://schemas.openxmlformats.org/spreadsheetml/2006/main" count="245" uniqueCount="56">
  <si>
    <t>班级</t>
  </si>
  <si>
    <t>托管报名人数</t>
  </si>
  <si>
    <t>周一</t>
  </si>
  <si>
    <t>周二</t>
  </si>
  <si>
    <t>周三</t>
  </si>
  <si>
    <t>周四</t>
  </si>
  <si>
    <t>周五</t>
  </si>
  <si>
    <t>足球1</t>
  </si>
  <si>
    <t>足球2</t>
  </si>
  <si>
    <t>红珊瑚跃舞团</t>
  </si>
  <si>
    <t>班上托管应到学生</t>
  </si>
  <si>
    <t>黄橙子古筝社团</t>
  </si>
  <si>
    <t>AI智能机器人</t>
  </si>
  <si>
    <t>鼓号队
第一节</t>
  </si>
  <si>
    <t>篮球
第二节</t>
  </si>
  <si>
    <t>第一节托管班上托管应到学生</t>
  </si>
  <si>
    <t>第二节托管班上托管应到学生</t>
  </si>
  <si>
    <t>合唱</t>
  </si>
  <si>
    <t>小号队</t>
  </si>
  <si>
    <t>跑酷/田径</t>
  </si>
  <si>
    <t>排球</t>
  </si>
  <si>
    <t>匹克球</t>
  </si>
  <si>
    <t>乒乓球</t>
  </si>
  <si>
    <t>全免不托管</t>
  </si>
  <si>
    <t>一1</t>
  </si>
  <si>
    <t>一2</t>
  </si>
  <si>
    <t>一3</t>
  </si>
  <si>
    <t>一4</t>
  </si>
  <si>
    <t>一5</t>
  </si>
  <si>
    <t>二1</t>
  </si>
  <si>
    <t>4,1李耀桢不参加</t>
  </si>
  <si>
    <t>二2</t>
  </si>
  <si>
    <t>2,1罗梓勤不参加</t>
  </si>
  <si>
    <t>二3</t>
  </si>
  <si>
    <t>二4</t>
  </si>
  <si>
    <t>二5</t>
  </si>
  <si>
    <t>三1</t>
  </si>
  <si>
    <t>三2</t>
  </si>
  <si>
    <t>三3</t>
  </si>
  <si>
    <t>三4</t>
  </si>
  <si>
    <t>4,1崔子琦不参加</t>
  </si>
  <si>
    <t>四1</t>
  </si>
  <si>
    <t>四2</t>
  </si>
  <si>
    <t>四3</t>
  </si>
  <si>
    <t>四4</t>
  </si>
  <si>
    <t>五1</t>
  </si>
  <si>
    <t>五2</t>
  </si>
  <si>
    <t>五3</t>
  </si>
  <si>
    <t>五4</t>
  </si>
  <si>
    <t>5,1赖华鑫不参加</t>
  </si>
  <si>
    <t>六1</t>
  </si>
  <si>
    <t>六2</t>
  </si>
  <si>
    <t>六3</t>
  </si>
  <si>
    <t>5,2不参加</t>
  </si>
  <si>
    <t>六4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</si>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</sst>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等线"/>
      <charset val="134"/>
      <scheme val="minor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rgb="FFFF0000"/>
      <name val="宋体"/>
      <charset val="134"/>
    </font>
    <font>
      <sz val="10"/>
      <color rgb="FF000000"/>
      <name val="等线"/>
      <charset val="134"/>
    </font>
    <font>
      <sz val="10"/>
      <name val="Arial"/>
      <charset val="134"/>
    </font>
    <font>
      <sz val="11"/>
      <color rgb="FF181C1F"/>
      <name val="宋体"/>
      <charset val="134"/>
    </font>
    <font>
      <sz val="10"/>
      <name val="等线"/>
      <charset val="134"/>
    </font>
    <font>
      <b/>
      <sz val="11"/>
      <name val="宋体"/>
      <charset val="134"/>
    </font>
    <font>
      <sz val="10"/>
      <color rgb="FF000000"/>
      <name val="Arial"/>
      <charset val="134"/>
    </font>
    <font>
      <sz val="11"/>
      <name val="宋体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E59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6" fillId="13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/>
    </xf>
    <xf numFmtId="0" fontId="3" fillId="4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/>
    </xf>
    <xf numFmtId="0" fontId="10" fillId="4" borderId="1" xfId="0" applyFont="1" applyFill="1" applyBorder="1" applyAlignment="1" applyProtection="1">
      <alignment horizontal="center" vertical="center"/>
    </xf>
    <xf numFmtId="0" fontId="9" fillId="0" borderId="0" xfId="0" applyFont="1" applyFill="1">
      <alignment vertical="center"/>
    </xf>
    <xf numFmtId="0" fontId="8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0" borderId="1" xfId="0" applyFont="1" applyFill="1" applyBorder="1" applyProtection="1">
      <alignment vertical="center"/>
    </xf>
    <xf numFmtId="0" fontId="11" fillId="0" borderId="1" xfId="0" applyFont="1" applyFill="1" applyBorder="1" applyAlignment="1" applyProtection="1">
      <alignment horizontal="center"/>
    </xf>
    <xf numFmtId="0" fontId="9" fillId="6" borderId="1" xfId="0" applyFont="1" applyFill="1" applyBorder="1" applyProtection="1">
      <alignment vertical="center"/>
    </xf>
    <xf numFmtId="0" fontId="3" fillId="6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1" fillId="6" borderId="1" xfId="0" applyFont="1" applyFill="1" applyBorder="1" applyAlignment="1" applyProtection="1">
      <alignment horizontal="center"/>
    </xf>
    <xf numFmtId="0" fontId="11" fillId="0" borderId="1" xfId="0" applyFont="1" applyBorder="1" applyAlignment="1" applyProtection="1">
      <alignment horizontal="center"/>
    </xf>
    <xf numFmtId="0" fontId="9" fillId="4" borderId="1" xfId="0" applyFont="1" applyFill="1" applyBorder="1" applyProtection="1">
      <alignment vertical="center"/>
    </xf>
    <xf numFmtId="0" fontId="9" fillId="0" borderId="1" xfId="0" applyFont="1" applyBorder="1" applyAlignment="1" applyProtection="1">
      <alignment horizontal="center" vertical="center"/>
    </xf>
    <xf numFmtId="0" fontId="11" fillId="4" borderId="1" xfId="0" applyFont="1" applyFill="1" applyBorder="1" applyAlignment="1" applyProtection="1">
      <alignment horizontal="center"/>
    </xf>
    <xf numFmtId="0" fontId="2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6" fillId="0" borderId="1" xfId="0" applyFont="1" applyBorder="1" applyProtection="1">
      <alignment vertical="center"/>
    </xf>
    <xf numFmtId="0" fontId="6" fillId="0" borderId="1" xfId="0" applyFont="1" applyBorder="1" applyAlignment="1" applyProtection="1">
      <alignment horizontal="center" vertical="center" wrapText="1"/>
    </xf>
    <xf numFmtId="0" fontId="9" fillId="0" borderId="1" xfId="0" applyFont="1" applyBorder="1" applyProtection="1">
      <alignment vertical="center"/>
    </xf>
    <xf numFmtId="0" fontId="2" fillId="9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/>
    </xf>
    <xf numFmtId="0" fontId="6" fillId="6" borderId="1" xfId="0" applyFont="1" applyFill="1" applyBorder="1" applyProtection="1">
      <alignment vertical="center"/>
    </xf>
    <xf numFmtId="0" fontId="6" fillId="4" borderId="1" xfId="0" applyFont="1" applyFill="1" applyBorder="1" applyProtection="1">
      <alignment vertical="center"/>
    </xf>
    <xf numFmtId="0" fontId="13" fillId="0" borderId="1" xfId="0" applyFont="1" applyBorder="1" applyProtection="1">
      <alignment vertical="center"/>
    </xf>
    <xf numFmtId="0" fontId="8" fillId="4" borderId="1" xfId="0" applyFont="1" applyFill="1" applyBorder="1" applyAlignment="1" applyProtection="1">
      <alignment horizontal="center" vertical="center"/>
    </xf>
    <xf numFmtId="0" fontId="6" fillId="6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31"/>
  <sheetViews>
    <sheetView tabSelected="1" zoomScale="85" zoomScaleNormal="85" workbookViewId="0">
      <pane xSplit="1" topLeftCell="B1" activePane="topRight" state="frozen"/>
      <selection/>
      <selection pane="topRight" activeCell="I11" sqref="I11"/>
    </sheetView>
  </sheetViews>
  <sheetFormatPr defaultColWidth="9" defaultRowHeight="13.5" customHeight="1"/>
  <cols>
    <col min="1" max="1" width="9" style="4"/>
    <col min="2" max="2" width="15.1666666666667" style="4" customWidth="1"/>
    <col min="3" max="4" width="9" style="4" customWidth="1"/>
    <col min="5" max="5" width="8.16666666666667" style="4" customWidth="1"/>
    <col min="6" max="6" width="9.5" style="5" customWidth="1"/>
    <col min="7" max="11" width="9" style="4" customWidth="1"/>
    <col min="12" max="12" width="9" style="5" customWidth="1"/>
    <col min="13" max="15" width="9" style="4" customWidth="1"/>
    <col min="16" max="16" width="9" style="5" customWidth="1"/>
    <col min="17" max="19" width="9" style="4" customWidth="1"/>
    <col min="20" max="20" width="9" style="5" customWidth="1"/>
    <col min="21" max="23" width="9" style="4" customWidth="1"/>
    <col min="24" max="24" width="9" style="5"/>
    <col min="25" max="25" width="9" style="4" hidden="1" customWidth="1"/>
    <col min="26" max="27" width="9" style="4"/>
    <col min="28" max="28" width="9" style="4" customWidth="1"/>
    <col min="29" max="40" width="9" style="4"/>
  </cols>
  <sheetData>
    <row r="1" s="1" customFormat="1" ht="24" customHeight="1" spans="1:25">
      <c r="A1" s="6" t="s">
        <v>0</v>
      </c>
      <c r="B1" s="6" t="s">
        <v>1</v>
      </c>
      <c r="C1" s="7" t="s">
        <v>2</v>
      </c>
      <c r="D1" s="7"/>
      <c r="E1" s="7"/>
      <c r="F1" s="8"/>
      <c r="G1" s="9" t="s">
        <v>3</v>
      </c>
      <c r="H1" s="10"/>
      <c r="I1" s="10"/>
      <c r="J1" s="10"/>
      <c r="K1" s="10"/>
      <c r="L1" s="11"/>
      <c r="M1" s="7" t="s">
        <v>4</v>
      </c>
      <c r="N1" s="7"/>
      <c r="O1" s="7"/>
      <c r="P1" s="8"/>
      <c r="Q1" s="9" t="s">
        <v>5</v>
      </c>
      <c r="R1" s="10"/>
      <c r="S1" s="10"/>
      <c r="T1" s="11"/>
      <c r="U1" s="12" t="s">
        <v>6</v>
      </c>
      <c r="V1" s="13"/>
      <c r="W1" s="13"/>
      <c r="X1" s="14"/>
    </row>
    <row r="2" s="2" customFormat="1" ht="54" customHeight="1" spans="1:25">
      <c r="A2" s="15"/>
      <c r="B2" s="15"/>
      <c r="C2" s="55" t="s">
        <v>7</v>
      </c>
      <c r="D2" s="55" t="s">
        <v>8</v>
      </c>
      <c r="E2" s="55" t="s">
        <v>9</v>
      </c>
      <c r="F2" s="16" t="s">
        <v>10</v>
      </c>
      <c r="G2" s="15" t="s">
        <v>11</v>
      </c>
      <c r="H2" s="55" t="s">
        <v>12</v>
      </c>
      <c r="I2" s="15" t="s">
        <v>13</v>
      </c>
      <c r="J2" s="56" t="s">
        <v>14</v>
      </c>
      <c r="K2" s="17" t="s">
        <v>15</v>
      </c>
      <c r="L2" s="16" t="s">
        <v>16</v>
      </c>
      <c r="M2" s="55" t="s">
        <v>7</v>
      </c>
      <c r="N2" s="55" t="s">
        <v>17</v>
      </c>
      <c r="O2" s="15" t="s">
        <v>18</v>
      </c>
      <c r="P2" s="16" t="s">
        <v>10</v>
      </c>
      <c r="Q2" s="55" t="s">
        <v>8</v>
      </c>
      <c r="R2" s="55" t="s">
        <v>19</v>
      </c>
      <c r="S2" s="55" t="s">
        <v>9</v>
      </c>
      <c r="T2" s="16" t="s">
        <v>10</v>
      </c>
      <c r="U2" s="55" t="s">
        <v>20</v>
      </c>
      <c r="V2" s="56" t="s">
        <v>21</v>
      </c>
      <c r="W2" s="56" t="s">
        <v>22</v>
      </c>
      <c r="X2" s="16" t="s">
        <v>10</v>
      </c>
      <c r="Y2" s="2" t="s">
        <v>23</v>
      </c>
    </row>
    <row r="3" customHeight="1" spans="1:25">
      <c r="A3" s="18" t="s">
        <v>24</v>
      </c>
      <c r="B3" s="57">
        <v>39</v>
      </c>
      <c r="C3" s="35"/>
      <c r="D3" s="35"/>
      <c r="E3" s="41"/>
      <c r="F3" s="22">
        <f t="shared" ref="F3:F28" si="0">B3-C3-D3-E3</f>
        <v>39</v>
      </c>
      <c r="G3" s="23"/>
      <c r="H3" s="41"/>
      <c r="I3" s="23"/>
      <c r="J3" s="23"/>
      <c r="K3" s="24">
        <f t="shared" ref="K3:K28" si="1">B3-G3-H3-I3</f>
        <v>39</v>
      </c>
      <c r="L3" s="22">
        <f t="shared" ref="L3:L28" si="2">B3-G3-H3-J3</f>
        <v>39</v>
      </c>
      <c r="M3" s="52"/>
      <c r="N3" s="30"/>
      <c r="O3" s="23"/>
      <c r="P3" s="22">
        <f t="shared" ref="P3:P28" si="3">B3-M3-N3-O3</f>
        <v>39</v>
      </c>
      <c r="Q3" s="52"/>
      <c r="R3" s="52"/>
      <c r="S3" s="41"/>
      <c r="T3" s="22">
        <f t="shared" ref="T3:T28" si="4">B3-Q3-R3-S3</f>
        <v>39</v>
      </c>
      <c r="U3" s="41"/>
      <c r="V3" s="23"/>
      <c r="W3" s="23">
        <v>3</v>
      </c>
      <c r="X3" s="22">
        <f t="shared" ref="X3:X28" si="5">B3-U3-V3-W3</f>
        <v>36</v>
      </c>
      <c r="Y3" s="26">
        <v>3</v>
      </c>
    </row>
    <row r="4" customHeight="1" spans="1:25">
      <c r="A4" s="18" t="s">
        <v>25</v>
      </c>
      <c r="B4" s="57">
        <v>37</v>
      </c>
      <c r="C4" s="35"/>
      <c r="D4" s="35"/>
      <c r="E4" s="41"/>
      <c r="F4" s="22">
        <f t="shared" si="0"/>
        <v>37</v>
      </c>
      <c r="G4" s="23"/>
      <c r="H4" s="41"/>
      <c r="I4" s="23"/>
      <c r="J4" s="23"/>
      <c r="K4" s="24">
        <f t="shared" si="1"/>
        <v>37</v>
      </c>
      <c r="L4" s="22">
        <f t="shared" si="2"/>
        <v>37</v>
      </c>
      <c r="M4" s="52"/>
      <c r="N4" s="30"/>
      <c r="O4" s="23"/>
      <c r="P4" s="22">
        <f t="shared" si="3"/>
        <v>37</v>
      </c>
      <c r="Q4" s="52"/>
      <c r="R4" s="52"/>
      <c r="S4" s="41"/>
      <c r="T4" s="22">
        <f t="shared" si="4"/>
        <v>37</v>
      </c>
      <c r="U4" s="41"/>
      <c r="V4" s="23"/>
      <c r="W4" s="23"/>
      <c r="X4" s="22">
        <f t="shared" si="5"/>
        <v>37</v>
      </c>
      <c r="Y4" s="2">
        <v>3</v>
      </c>
    </row>
    <row r="5" customHeight="1" spans="1:25">
      <c r="A5" s="18" t="s">
        <v>26</v>
      </c>
      <c r="B5" s="57">
        <v>42</v>
      </c>
      <c r="C5" s="35"/>
      <c r="D5" s="35"/>
      <c r="E5" s="41"/>
      <c r="F5" s="22">
        <f t="shared" si="0"/>
        <v>42</v>
      </c>
      <c r="G5" s="23">
        <v>1</v>
      </c>
      <c r="H5" s="41"/>
      <c r="I5" s="23"/>
      <c r="J5" s="23"/>
      <c r="K5" s="24">
        <f t="shared" si="1"/>
        <v>41</v>
      </c>
      <c r="L5" s="22">
        <f t="shared" si="2"/>
        <v>41</v>
      </c>
      <c r="M5" s="52"/>
      <c r="N5" s="20"/>
      <c r="O5" s="23"/>
      <c r="P5" s="22">
        <f t="shared" si="3"/>
        <v>42</v>
      </c>
      <c r="Q5" s="52"/>
      <c r="R5" s="52"/>
      <c r="S5" s="41"/>
      <c r="T5" s="22">
        <f t="shared" si="4"/>
        <v>42</v>
      </c>
      <c r="U5" s="41"/>
      <c r="V5" s="23"/>
      <c r="W5" s="23"/>
      <c r="X5" s="22">
        <f t="shared" si="5"/>
        <v>42</v>
      </c>
      <c r="Y5" s="2">
        <v>3</v>
      </c>
    </row>
    <row r="6" customHeight="1" spans="1:25">
      <c r="A6" s="18" t="s">
        <v>27</v>
      </c>
      <c r="B6" s="57">
        <v>37</v>
      </c>
      <c r="C6" s="35"/>
      <c r="D6" s="35"/>
      <c r="E6" s="41"/>
      <c r="F6" s="22">
        <f t="shared" si="0"/>
        <v>37</v>
      </c>
      <c r="G6" s="23"/>
      <c r="H6" s="41"/>
      <c r="I6" s="23"/>
      <c r="J6" s="23">
        <v>1</v>
      </c>
      <c r="K6" s="24">
        <f t="shared" si="1"/>
        <v>37</v>
      </c>
      <c r="L6" s="22">
        <f t="shared" si="2"/>
        <v>36</v>
      </c>
      <c r="M6" s="52"/>
      <c r="N6" s="20"/>
      <c r="O6" s="23"/>
      <c r="P6" s="22">
        <f t="shared" si="3"/>
        <v>37</v>
      </c>
      <c r="Q6" s="52"/>
      <c r="R6" s="52"/>
      <c r="S6" s="41"/>
      <c r="T6" s="22">
        <f t="shared" si="4"/>
        <v>37</v>
      </c>
      <c r="U6" s="41"/>
      <c r="V6" s="23"/>
      <c r="W6" s="23">
        <v>1</v>
      </c>
      <c r="X6" s="22">
        <f t="shared" si="5"/>
        <v>36</v>
      </c>
      <c r="Y6" s="2">
        <v>3</v>
      </c>
    </row>
    <row r="7" customHeight="1" spans="1:25">
      <c r="A7" s="18" t="s">
        <v>28</v>
      </c>
      <c r="B7" s="57">
        <v>36</v>
      </c>
      <c r="C7" s="35"/>
      <c r="D7" s="35"/>
      <c r="E7" s="41"/>
      <c r="F7" s="22">
        <f t="shared" si="0"/>
        <v>36</v>
      </c>
      <c r="G7" s="23">
        <v>1</v>
      </c>
      <c r="H7" s="41"/>
      <c r="I7" s="23"/>
      <c r="J7" s="23"/>
      <c r="K7" s="24">
        <f t="shared" si="1"/>
        <v>35</v>
      </c>
      <c r="L7" s="22">
        <f t="shared" si="2"/>
        <v>35</v>
      </c>
      <c r="M7" s="52"/>
      <c r="N7" s="20"/>
      <c r="O7" s="23"/>
      <c r="P7" s="22">
        <f t="shared" si="3"/>
        <v>36</v>
      </c>
      <c r="Q7" s="52"/>
      <c r="R7" s="52"/>
      <c r="S7" s="41"/>
      <c r="T7" s="22">
        <f t="shared" si="4"/>
        <v>36</v>
      </c>
      <c r="U7" s="41"/>
      <c r="V7" s="23"/>
      <c r="W7" s="23"/>
      <c r="X7" s="22">
        <f t="shared" si="5"/>
        <v>36</v>
      </c>
      <c r="Y7" s="2">
        <v>2</v>
      </c>
    </row>
    <row r="8" customHeight="1" spans="1:25">
      <c r="A8" s="18" t="s">
        <v>29</v>
      </c>
      <c r="B8" s="57">
        <v>41</v>
      </c>
      <c r="C8" s="58">
        <v>3</v>
      </c>
      <c r="D8" s="59">
        <v>5</v>
      </c>
      <c r="E8" s="41"/>
      <c r="F8" s="22">
        <f t="shared" si="0"/>
        <v>33</v>
      </c>
      <c r="G8" s="23"/>
      <c r="H8" s="41"/>
      <c r="I8" s="23"/>
      <c r="J8" s="23"/>
      <c r="K8" s="24">
        <f t="shared" si="1"/>
        <v>41</v>
      </c>
      <c r="L8" s="22">
        <f t="shared" si="2"/>
        <v>41</v>
      </c>
      <c r="M8" s="52">
        <v>8</v>
      </c>
      <c r="N8" s="20"/>
      <c r="O8" s="23"/>
      <c r="P8" s="22">
        <f t="shared" si="3"/>
        <v>33</v>
      </c>
      <c r="Q8" s="59">
        <v>6</v>
      </c>
      <c r="R8" s="53"/>
      <c r="S8" s="41"/>
      <c r="T8" s="22">
        <f t="shared" si="4"/>
        <v>35</v>
      </c>
      <c r="U8" s="41"/>
      <c r="V8" s="23">
        <v>2</v>
      </c>
      <c r="W8" s="23"/>
      <c r="X8" s="22">
        <f t="shared" si="5"/>
        <v>39</v>
      </c>
      <c r="Y8" s="2" t="s">
        <v>30</v>
      </c>
    </row>
    <row r="9" ht="14.25" customHeight="1" spans="1:25">
      <c r="A9" s="18" t="s">
        <v>31</v>
      </c>
      <c r="B9" s="57">
        <v>41</v>
      </c>
      <c r="C9" s="58">
        <v>3</v>
      </c>
      <c r="D9" s="59">
        <v>5</v>
      </c>
      <c r="E9" s="41">
        <v>4</v>
      </c>
      <c r="F9" s="22">
        <f t="shared" si="0"/>
        <v>29</v>
      </c>
      <c r="G9" s="23"/>
      <c r="H9" s="41"/>
      <c r="I9" s="23"/>
      <c r="J9" s="23">
        <v>1</v>
      </c>
      <c r="K9" s="24">
        <f t="shared" si="1"/>
        <v>41</v>
      </c>
      <c r="L9" s="22">
        <f t="shared" si="2"/>
        <v>40</v>
      </c>
      <c r="M9" s="52">
        <v>8</v>
      </c>
      <c r="N9" s="20">
        <v>4</v>
      </c>
      <c r="O9" s="23"/>
      <c r="P9" s="22">
        <f t="shared" si="3"/>
        <v>29</v>
      </c>
      <c r="Q9" s="59">
        <v>6</v>
      </c>
      <c r="R9" s="20"/>
      <c r="S9" s="41">
        <v>4</v>
      </c>
      <c r="T9" s="28">
        <f t="shared" si="4"/>
        <v>31</v>
      </c>
      <c r="U9" s="41"/>
      <c r="V9" s="23"/>
      <c r="W9" s="23"/>
      <c r="X9" s="22">
        <f t="shared" si="5"/>
        <v>41</v>
      </c>
      <c r="Y9" s="2" t="s">
        <v>32</v>
      </c>
    </row>
    <row r="10" ht="14.25" customHeight="1" spans="1:25">
      <c r="A10" s="18" t="s">
        <v>33</v>
      </c>
      <c r="B10" s="57">
        <v>44</v>
      </c>
      <c r="C10" s="58">
        <v>5</v>
      </c>
      <c r="D10" s="59">
        <v>2</v>
      </c>
      <c r="E10" s="40">
        <v>1</v>
      </c>
      <c r="F10" s="22">
        <f t="shared" si="0"/>
        <v>36</v>
      </c>
      <c r="G10" s="23">
        <v>4</v>
      </c>
      <c r="H10" s="41"/>
      <c r="I10" s="23"/>
      <c r="J10" s="23"/>
      <c r="K10" s="24">
        <f t="shared" si="1"/>
        <v>40</v>
      </c>
      <c r="L10" s="22">
        <f t="shared" si="2"/>
        <v>40</v>
      </c>
      <c r="M10" s="58">
        <v>7</v>
      </c>
      <c r="N10" s="20"/>
      <c r="O10" s="23"/>
      <c r="P10" s="22">
        <f t="shared" si="3"/>
        <v>37</v>
      </c>
      <c r="Q10" s="59">
        <v>5</v>
      </c>
      <c r="R10" s="41"/>
      <c r="S10" s="40">
        <v>1</v>
      </c>
      <c r="T10" s="22">
        <f t="shared" si="4"/>
        <v>38</v>
      </c>
      <c r="U10" s="41"/>
      <c r="V10" s="23"/>
      <c r="W10" s="23"/>
      <c r="X10" s="22">
        <f t="shared" si="5"/>
        <v>44</v>
      </c>
      <c r="Y10" s="2">
        <v>3</v>
      </c>
    </row>
    <row r="11" ht="14.25" customHeight="1" spans="1:25">
      <c r="A11" s="18" t="s">
        <v>34</v>
      </c>
      <c r="B11" s="57">
        <v>38</v>
      </c>
      <c r="C11" s="58">
        <v>1</v>
      </c>
      <c r="D11" s="59">
        <v>2</v>
      </c>
      <c r="E11" s="60"/>
      <c r="F11" s="22">
        <f t="shared" si="0"/>
        <v>35</v>
      </c>
      <c r="G11" s="23">
        <v>1</v>
      </c>
      <c r="H11" s="41"/>
      <c r="I11" s="23"/>
      <c r="J11" s="23"/>
      <c r="K11" s="24">
        <f t="shared" si="1"/>
        <v>37</v>
      </c>
      <c r="L11" s="22">
        <f t="shared" si="2"/>
        <v>37</v>
      </c>
      <c r="M11" s="58">
        <v>3</v>
      </c>
      <c r="N11" s="30">
        <v>5</v>
      </c>
      <c r="O11" s="23"/>
      <c r="P11" s="22">
        <f t="shared" si="3"/>
        <v>30</v>
      </c>
      <c r="Q11" s="59">
        <v>3</v>
      </c>
      <c r="R11" s="41"/>
      <c r="S11" s="60"/>
      <c r="T11" s="22">
        <f t="shared" si="4"/>
        <v>35</v>
      </c>
      <c r="U11" s="41"/>
      <c r="V11" s="23"/>
      <c r="W11" s="23"/>
      <c r="X11" s="22">
        <f t="shared" si="5"/>
        <v>38</v>
      </c>
      <c r="Y11" s="2">
        <v>3</v>
      </c>
    </row>
    <row r="12" ht="14.25" customHeight="1" spans="1:25">
      <c r="A12" s="18" t="s">
        <v>35</v>
      </c>
      <c r="B12" s="57">
        <v>38</v>
      </c>
      <c r="C12" s="58">
        <v>1</v>
      </c>
      <c r="D12" s="59">
        <v>1</v>
      </c>
      <c r="E12" s="41">
        <v>3</v>
      </c>
      <c r="F12" s="22">
        <f t="shared" si="0"/>
        <v>33</v>
      </c>
      <c r="G12" s="23"/>
      <c r="H12" s="41"/>
      <c r="I12" s="23"/>
      <c r="J12" s="23"/>
      <c r="K12" s="24">
        <f t="shared" si="1"/>
        <v>38</v>
      </c>
      <c r="L12" s="22">
        <f t="shared" si="2"/>
        <v>38</v>
      </c>
      <c r="M12" s="58">
        <v>2</v>
      </c>
      <c r="N12" s="20">
        <v>2</v>
      </c>
      <c r="O12" s="23"/>
      <c r="P12" s="22">
        <f t="shared" si="3"/>
        <v>34</v>
      </c>
      <c r="Q12" s="59">
        <v>1</v>
      </c>
      <c r="R12" s="41"/>
      <c r="S12" s="41">
        <v>3</v>
      </c>
      <c r="T12" s="28">
        <f t="shared" si="4"/>
        <v>34</v>
      </c>
      <c r="U12" s="41"/>
      <c r="V12" s="23"/>
      <c r="W12" s="23"/>
      <c r="X12" s="22">
        <f t="shared" si="5"/>
        <v>38</v>
      </c>
      <c r="Y12" s="2">
        <v>2</v>
      </c>
    </row>
    <row r="13" ht="14.25" customHeight="1" spans="1:25">
      <c r="A13" s="18" t="s">
        <v>36</v>
      </c>
      <c r="B13" s="57">
        <v>47</v>
      </c>
      <c r="C13" s="52">
        <v>1</v>
      </c>
      <c r="D13" s="58">
        <v>5</v>
      </c>
      <c r="E13" s="41">
        <v>4</v>
      </c>
      <c r="F13" s="22">
        <f t="shared" si="0"/>
        <v>37</v>
      </c>
      <c r="G13" s="23"/>
      <c r="H13" s="41"/>
      <c r="I13" s="23">
        <v>7</v>
      </c>
      <c r="J13" s="23"/>
      <c r="K13" s="24">
        <f t="shared" si="1"/>
        <v>40</v>
      </c>
      <c r="L13" s="22">
        <f t="shared" si="2"/>
        <v>47</v>
      </c>
      <c r="M13" s="59">
        <v>4</v>
      </c>
      <c r="N13" s="20"/>
      <c r="O13" s="23">
        <v>3</v>
      </c>
      <c r="P13" s="22">
        <f t="shared" si="3"/>
        <v>40</v>
      </c>
      <c r="Q13" s="58">
        <v>5</v>
      </c>
      <c r="R13" s="44">
        <v>5</v>
      </c>
      <c r="S13" s="41">
        <v>4</v>
      </c>
      <c r="T13" s="28">
        <f t="shared" si="4"/>
        <v>33</v>
      </c>
      <c r="U13" s="41"/>
      <c r="V13" s="23">
        <v>1</v>
      </c>
      <c r="W13" s="23">
        <v>1</v>
      </c>
      <c r="X13" s="22">
        <f t="shared" si="5"/>
        <v>45</v>
      </c>
      <c r="Y13" s="2">
        <v>6</v>
      </c>
    </row>
    <row r="14" customHeight="1" spans="1:25">
      <c r="A14" s="18" t="s">
        <v>37</v>
      </c>
      <c r="B14" s="57">
        <v>44</v>
      </c>
      <c r="C14" s="35"/>
      <c r="D14" s="52">
        <v>1</v>
      </c>
      <c r="E14" s="41"/>
      <c r="F14" s="22">
        <f t="shared" si="0"/>
        <v>43</v>
      </c>
      <c r="G14" s="23">
        <v>2</v>
      </c>
      <c r="H14" s="41"/>
      <c r="I14" s="23"/>
      <c r="J14" s="23">
        <v>1</v>
      </c>
      <c r="K14" s="24">
        <f t="shared" si="1"/>
        <v>42</v>
      </c>
      <c r="L14" s="22">
        <f t="shared" si="2"/>
        <v>41</v>
      </c>
      <c r="M14" s="52"/>
      <c r="N14" s="20">
        <v>5</v>
      </c>
      <c r="O14" s="23"/>
      <c r="P14" s="22">
        <f t="shared" si="3"/>
        <v>39</v>
      </c>
      <c r="Q14" s="52">
        <v>1</v>
      </c>
      <c r="R14" s="41">
        <v>5</v>
      </c>
      <c r="S14" s="41"/>
      <c r="T14" s="22">
        <f t="shared" si="4"/>
        <v>38</v>
      </c>
      <c r="U14" s="41"/>
      <c r="V14" s="23"/>
      <c r="W14" s="23">
        <v>2</v>
      </c>
      <c r="X14" s="22">
        <f t="shared" si="5"/>
        <v>42</v>
      </c>
      <c r="Y14" s="2">
        <v>7</v>
      </c>
    </row>
    <row r="15" ht="14.25" customHeight="1" spans="1:25">
      <c r="A15" s="18" t="s">
        <v>38</v>
      </c>
      <c r="B15" s="57">
        <v>46</v>
      </c>
      <c r="C15" s="35"/>
      <c r="D15" s="52">
        <v>2</v>
      </c>
      <c r="E15" s="41">
        <v>3</v>
      </c>
      <c r="F15" s="22">
        <f t="shared" si="0"/>
        <v>41</v>
      </c>
      <c r="G15" s="23">
        <v>2</v>
      </c>
      <c r="H15" s="41"/>
      <c r="I15" s="23">
        <v>2</v>
      </c>
      <c r="J15" s="23"/>
      <c r="K15" s="24">
        <f t="shared" si="1"/>
        <v>42</v>
      </c>
      <c r="L15" s="22">
        <f t="shared" si="2"/>
        <v>44</v>
      </c>
      <c r="M15" s="52"/>
      <c r="N15" s="61">
        <v>11</v>
      </c>
      <c r="O15" s="23"/>
      <c r="P15" s="22">
        <f t="shared" si="3"/>
        <v>35</v>
      </c>
      <c r="Q15" s="52">
        <v>2</v>
      </c>
      <c r="R15" s="41">
        <v>2</v>
      </c>
      <c r="S15" s="41">
        <v>3</v>
      </c>
      <c r="T15" s="22">
        <f t="shared" si="4"/>
        <v>39</v>
      </c>
      <c r="U15" s="41"/>
      <c r="V15" s="23">
        <v>3</v>
      </c>
      <c r="W15" s="23">
        <v>1</v>
      </c>
      <c r="X15" s="22">
        <f t="shared" si="5"/>
        <v>42</v>
      </c>
      <c r="Y15" s="2">
        <v>2</v>
      </c>
    </row>
    <row r="16" ht="14.25" customHeight="1" spans="1:25">
      <c r="A16" s="18" t="s">
        <v>39</v>
      </c>
      <c r="B16" s="57">
        <v>43</v>
      </c>
      <c r="C16" s="35"/>
      <c r="D16" s="52">
        <v>2</v>
      </c>
      <c r="E16" s="41">
        <v>4</v>
      </c>
      <c r="F16" s="22">
        <f t="shared" si="0"/>
        <v>37</v>
      </c>
      <c r="G16" s="23">
        <v>3</v>
      </c>
      <c r="H16" s="41"/>
      <c r="I16" s="23"/>
      <c r="J16" s="23"/>
      <c r="K16" s="24">
        <f t="shared" si="1"/>
        <v>40</v>
      </c>
      <c r="L16" s="22">
        <f t="shared" si="2"/>
        <v>40</v>
      </c>
      <c r="M16" s="52">
        <v>1</v>
      </c>
      <c r="N16" s="30"/>
      <c r="O16" s="23"/>
      <c r="P16" s="22">
        <f t="shared" si="3"/>
        <v>42</v>
      </c>
      <c r="Q16" s="52">
        <v>2</v>
      </c>
      <c r="R16" s="41">
        <v>2</v>
      </c>
      <c r="S16" s="41">
        <v>4</v>
      </c>
      <c r="T16" s="22">
        <f t="shared" si="4"/>
        <v>35</v>
      </c>
      <c r="U16" s="41"/>
      <c r="V16" s="23"/>
      <c r="W16" s="23"/>
      <c r="X16" s="22">
        <f t="shared" si="5"/>
        <v>43</v>
      </c>
      <c r="Y16" s="2" t="s">
        <v>40</v>
      </c>
    </row>
    <row r="17" ht="14.25" customHeight="1" spans="1:25">
      <c r="A17" s="18" t="s">
        <v>41</v>
      </c>
      <c r="B17" s="57">
        <v>42</v>
      </c>
      <c r="C17" s="35"/>
      <c r="D17" s="58">
        <v>0</v>
      </c>
      <c r="E17" s="41">
        <v>3</v>
      </c>
      <c r="F17" s="22">
        <f t="shared" si="0"/>
        <v>39</v>
      </c>
      <c r="G17" s="23">
        <v>2</v>
      </c>
      <c r="H17" s="41">
        <v>1</v>
      </c>
      <c r="I17" s="23"/>
      <c r="J17" s="23"/>
      <c r="K17" s="24">
        <f t="shared" si="1"/>
        <v>39</v>
      </c>
      <c r="L17" s="22">
        <f t="shared" si="2"/>
        <v>39</v>
      </c>
      <c r="M17" s="59">
        <v>1</v>
      </c>
      <c r="N17" s="20">
        <v>7</v>
      </c>
      <c r="O17" s="23"/>
      <c r="P17" s="28">
        <f t="shared" si="3"/>
        <v>34</v>
      </c>
      <c r="Q17" s="58">
        <v>0</v>
      </c>
      <c r="R17" s="41">
        <v>4</v>
      </c>
      <c r="S17" s="41">
        <v>3</v>
      </c>
      <c r="T17" s="22">
        <f t="shared" si="4"/>
        <v>35</v>
      </c>
      <c r="U17" s="41"/>
      <c r="V17" s="23"/>
      <c r="W17" s="23"/>
      <c r="X17" s="22">
        <f t="shared" si="5"/>
        <v>42</v>
      </c>
      <c r="Y17" s="2">
        <v>7</v>
      </c>
    </row>
    <row r="18" ht="14.25" customHeight="1" spans="1:25">
      <c r="A18" s="18" t="s">
        <v>42</v>
      </c>
      <c r="B18" s="57">
        <v>38</v>
      </c>
      <c r="C18" s="35">
        <v>1</v>
      </c>
      <c r="D18" s="58">
        <v>1</v>
      </c>
      <c r="E18" s="40">
        <v>2</v>
      </c>
      <c r="F18" s="28">
        <f t="shared" si="0"/>
        <v>34</v>
      </c>
      <c r="G18" s="23">
        <v>1</v>
      </c>
      <c r="H18" s="44">
        <v>5</v>
      </c>
      <c r="I18" s="23"/>
      <c r="J18" s="23"/>
      <c r="K18" s="24">
        <f t="shared" si="1"/>
        <v>32</v>
      </c>
      <c r="L18" s="22">
        <f t="shared" si="2"/>
        <v>32</v>
      </c>
      <c r="M18" s="52">
        <v>1</v>
      </c>
      <c r="N18" s="20"/>
      <c r="O18" s="23"/>
      <c r="P18" s="28">
        <f t="shared" si="3"/>
        <v>37</v>
      </c>
      <c r="Q18" s="58">
        <v>1</v>
      </c>
      <c r="R18" s="41">
        <v>1</v>
      </c>
      <c r="S18" s="40">
        <v>2</v>
      </c>
      <c r="T18" s="22">
        <f t="shared" si="4"/>
        <v>34</v>
      </c>
      <c r="U18" s="41"/>
      <c r="V18" s="23"/>
      <c r="W18" s="23"/>
      <c r="X18" s="22">
        <f t="shared" si="5"/>
        <v>38</v>
      </c>
      <c r="Y18" s="39">
        <v>3</v>
      </c>
    </row>
    <row r="19" ht="14.25" customHeight="1" spans="1:25">
      <c r="A19" s="18" t="s">
        <v>43</v>
      </c>
      <c r="B19" s="57">
        <v>38</v>
      </c>
      <c r="C19" s="35"/>
      <c r="D19" s="58">
        <v>1</v>
      </c>
      <c r="E19" s="41">
        <v>4</v>
      </c>
      <c r="F19" s="22">
        <f t="shared" si="0"/>
        <v>33</v>
      </c>
      <c r="G19" s="23"/>
      <c r="H19" s="41"/>
      <c r="I19" s="23">
        <v>9</v>
      </c>
      <c r="J19" s="23">
        <v>2</v>
      </c>
      <c r="K19" s="24">
        <f t="shared" si="1"/>
        <v>29</v>
      </c>
      <c r="L19" s="22">
        <f t="shared" si="2"/>
        <v>36</v>
      </c>
      <c r="M19" s="59">
        <v>1</v>
      </c>
      <c r="N19" s="20"/>
      <c r="O19" s="23">
        <v>5</v>
      </c>
      <c r="P19" s="28">
        <f t="shared" si="3"/>
        <v>32</v>
      </c>
      <c r="Q19" s="58">
        <v>1</v>
      </c>
      <c r="R19" s="41">
        <v>0</v>
      </c>
      <c r="S19" s="41">
        <v>4</v>
      </c>
      <c r="T19" s="22">
        <f t="shared" si="4"/>
        <v>33</v>
      </c>
      <c r="U19" s="41"/>
      <c r="V19" s="23">
        <v>1</v>
      </c>
      <c r="W19" s="23">
        <v>1</v>
      </c>
      <c r="X19" s="22">
        <f t="shared" si="5"/>
        <v>36</v>
      </c>
      <c r="Y19" s="2">
        <v>1</v>
      </c>
    </row>
    <row r="20" customHeight="1" spans="1:25">
      <c r="A20" s="18" t="s">
        <v>44</v>
      </c>
      <c r="B20" s="57">
        <v>41</v>
      </c>
      <c r="C20" s="35"/>
      <c r="D20" s="52"/>
      <c r="E20" s="41"/>
      <c r="F20" s="22">
        <f t="shared" si="0"/>
        <v>41</v>
      </c>
      <c r="G20" s="23">
        <v>2</v>
      </c>
      <c r="H20" s="41">
        <v>3</v>
      </c>
      <c r="I20" s="23">
        <v>9</v>
      </c>
      <c r="J20" s="23"/>
      <c r="K20" s="24">
        <f t="shared" si="1"/>
        <v>27</v>
      </c>
      <c r="L20" s="22">
        <f t="shared" si="2"/>
        <v>36</v>
      </c>
      <c r="M20" s="52"/>
      <c r="N20" s="62">
        <v>5</v>
      </c>
      <c r="O20" s="23">
        <v>4</v>
      </c>
      <c r="P20" s="22">
        <f t="shared" si="3"/>
        <v>32</v>
      </c>
      <c r="Q20" s="52"/>
      <c r="R20" s="41">
        <v>0</v>
      </c>
      <c r="S20" s="41"/>
      <c r="T20" s="22">
        <f t="shared" si="4"/>
        <v>41</v>
      </c>
      <c r="U20" s="41"/>
      <c r="V20" s="23"/>
      <c r="W20" s="23"/>
      <c r="X20" s="22">
        <f t="shared" si="5"/>
        <v>41</v>
      </c>
      <c r="Y20" s="2">
        <v>3</v>
      </c>
    </row>
    <row r="21" customHeight="1" spans="1:25">
      <c r="A21" s="18" t="s">
        <v>45</v>
      </c>
      <c r="B21" s="57">
        <v>44</v>
      </c>
      <c r="C21" s="58">
        <v>1</v>
      </c>
      <c r="D21" s="52"/>
      <c r="E21" s="41"/>
      <c r="F21" s="28">
        <f t="shared" si="0"/>
        <v>43</v>
      </c>
      <c r="G21" s="23">
        <v>1</v>
      </c>
      <c r="H21" s="41"/>
      <c r="I21" s="23">
        <v>2</v>
      </c>
      <c r="J21" s="23">
        <v>1</v>
      </c>
      <c r="K21" s="24">
        <f t="shared" si="1"/>
        <v>41</v>
      </c>
      <c r="L21" s="22">
        <f t="shared" si="2"/>
        <v>42</v>
      </c>
      <c r="M21" s="58">
        <v>1</v>
      </c>
      <c r="N21" s="20"/>
      <c r="O21" s="18">
        <v>0</v>
      </c>
      <c r="P21" s="28">
        <f t="shared" si="3"/>
        <v>43</v>
      </c>
      <c r="Q21" s="52"/>
      <c r="R21" s="41">
        <v>10</v>
      </c>
      <c r="S21" s="41"/>
      <c r="T21" s="28">
        <f t="shared" si="4"/>
        <v>34</v>
      </c>
      <c r="U21" s="41"/>
      <c r="V21" s="23">
        <v>1</v>
      </c>
      <c r="W21" s="23">
        <v>3</v>
      </c>
      <c r="X21" s="22">
        <f t="shared" si="5"/>
        <v>40</v>
      </c>
      <c r="Y21" s="2">
        <v>3</v>
      </c>
    </row>
    <row r="22" ht="14.25" customHeight="1" spans="1:25">
      <c r="A22" s="18" t="s">
        <v>46</v>
      </c>
      <c r="B22" s="57">
        <v>43</v>
      </c>
      <c r="C22" s="52">
        <v>2</v>
      </c>
      <c r="D22" s="52"/>
      <c r="E22" s="41">
        <v>4</v>
      </c>
      <c r="F22" s="28">
        <f t="shared" si="0"/>
        <v>37</v>
      </c>
      <c r="G22" s="23">
        <v>2</v>
      </c>
      <c r="H22" s="41">
        <v>2</v>
      </c>
      <c r="I22" s="23">
        <v>3</v>
      </c>
      <c r="J22" s="23">
        <v>1</v>
      </c>
      <c r="K22" s="24">
        <f t="shared" si="1"/>
        <v>36</v>
      </c>
      <c r="L22" s="22">
        <f t="shared" si="2"/>
        <v>38</v>
      </c>
      <c r="M22" s="59">
        <v>3</v>
      </c>
      <c r="N22" s="30"/>
      <c r="O22" s="18">
        <v>3</v>
      </c>
      <c r="P22" s="28">
        <f t="shared" si="3"/>
        <v>37</v>
      </c>
      <c r="Q22" s="52"/>
      <c r="R22" s="41">
        <v>4</v>
      </c>
      <c r="S22" s="40">
        <v>3</v>
      </c>
      <c r="T22" s="28">
        <f t="shared" si="4"/>
        <v>36</v>
      </c>
      <c r="U22" s="41">
        <v>1</v>
      </c>
      <c r="V22" s="23">
        <v>2</v>
      </c>
      <c r="W22" s="23"/>
      <c r="X22" s="22">
        <f t="shared" si="5"/>
        <v>40</v>
      </c>
      <c r="Y22" s="26">
        <v>1</v>
      </c>
    </row>
    <row r="23" ht="14.25" customHeight="1" spans="1:25">
      <c r="A23" s="18" t="s">
        <v>47</v>
      </c>
      <c r="B23" s="57">
        <v>47</v>
      </c>
      <c r="C23" s="35"/>
      <c r="D23" s="35"/>
      <c r="E23" s="41">
        <v>3</v>
      </c>
      <c r="F23" s="22">
        <f t="shared" si="0"/>
        <v>44</v>
      </c>
      <c r="G23" s="23">
        <v>1</v>
      </c>
      <c r="H23" s="41"/>
      <c r="I23" s="23">
        <v>1</v>
      </c>
      <c r="J23" s="23"/>
      <c r="K23" s="24">
        <f t="shared" si="1"/>
        <v>45</v>
      </c>
      <c r="L23" s="22">
        <f t="shared" si="2"/>
        <v>46</v>
      </c>
      <c r="M23" s="52"/>
      <c r="N23" s="30"/>
      <c r="O23" s="18">
        <v>1</v>
      </c>
      <c r="P23" s="22">
        <f t="shared" si="3"/>
        <v>46</v>
      </c>
      <c r="Q23" s="52"/>
      <c r="R23" s="41">
        <v>7</v>
      </c>
      <c r="S23" s="41">
        <v>3</v>
      </c>
      <c r="T23" s="28">
        <f t="shared" si="4"/>
        <v>37</v>
      </c>
      <c r="U23" s="41"/>
      <c r="V23" s="23">
        <v>1</v>
      </c>
      <c r="W23" s="23">
        <v>1</v>
      </c>
      <c r="X23" s="22">
        <f t="shared" si="5"/>
        <v>45</v>
      </c>
      <c r="Y23" s="26">
        <v>3</v>
      </c>
    </row>
    <row r="24" customHeight="1" spans="1:25">
      <c r="A24" s="18" t="s">
        <v>48</v>
      </c>
      <c r="B24" s="57">
        <v>43</v>
      </c>
      <c r="C24" s="35"/>
      <c r="D24" s="35"/>
      <c r="E24" s="41"/>
      <c r="F24" s="22">
        <f t="shared" si="0"/>
        <v>43</v>
      </c>
      <c r="G24" s="23"/>
      <c r="H24" s="41">
        <v>1</v>
      </c>
      <c r="I24" s="23">
        <v>1</v>
      </c>
      <c r="J24" s="23">
        <v>3</v>
      </c>
      <c r="K24" s="24">
        <f t="shared" si="1"/>
        <v>41</v>
      </c>
      <c r="L24" s="22">
        <f t="shared" si="2"/>
        <v>39</v>
      </c>
      <c r="M24" s="52"/>
      <c r="N24" s="30"/>
      <c r="O24" s="18">
        <v>1</v>
      </c>
      <c r="P24" s="22">
        <f t="shared" si="3"/>
        <v>42</v>
      </c>
      <c r="Q24" s="52"/>
      <c r="R24" s="41">
        <v>4</v>
      </c>
      <c r="S24" s="41"/>
      <c r="T24" s="28">
        <f t="shared" si="4"/>
        <v>39</v>
      </c>
      <c r="U24" s="41"/>
      <c r="V24" s="23">
        <v>2</v>
      </c>
      <c r="W24" s="23">
        <v>1</v>
      </c>
      <c r="X24" s="22">
        <f t="shared" si="5"/>
        <v>40</v>
      </c>
      <c r="Y24" s="39" t="s">
        <v>49</v>
      </c>
    </row>
    <row r="25" customHeight="1" spans="1:25">
      <c r="A25" s="18" t="s">
        <v>50</v>
      </c>
      <c r="B25" s="57">
        <v>36</v>
      </c>
      <c r="C25" s="35"/>
      <c r="D25" s="35"/>
      <c r="E25" s="41"/>
      <c r="F25" s="22">
        <f t="shared" si="0"/>
        <v>36</v>
      </c>
      <c r="G25" s="23"/>
      <c r="H25" s="41">
        <v>1</v>
      </c>
      <c r="I25" s="23"/>
      <c r="J25" s="23"/>
      <c r="K25" s="24">
        <f t="shared" si="1"/>
        <v>35</v>
      </c>
      <c r="L25" s="22">
        <f t="shared" si="2"/>
        <v>35</v>
      </c>
      <c r="M25" s="52"/>
      <c r="N25" s="30"/>
      <c r="O25" s="18"/>
      <c r="P25" s="22">
        <f t="shared" si="3"/>
        <v>36</v>
      </c>
      <c r="Q25" s="52"/>
      <c r="R25" s="41"/>
      <c r="S25" s="41"/>
      <c r="T25" s="22">
        <f t="shared" si="4"/>
        <v>36</v>
      </c>
      <c r="U25" s="41"/>
      <c r="V25" s="23"/>
      <c r="W25" s="23"/>
      <c r="X25" s="22">
        <f t="shared" si="5"/>
        <v>36</v>
      </c>
      <c r="Y25" s="26">
        <v>6</v>
      </c>
    </row>
    <row r="26" customHeight="1" spans="1:25">
      <c r="A26" s="18" t="s">
        <v>51</v>
      </c>
      <c r="B26" s="57">
        <v>35</v>
      </c>
      <c r="C26" s="35"/>
      <c r="D26" s="35"/>
      <c r="E26" s="41"/>
      <c r="F26" s="22">
        <f t="shared" si="0"/>
        <v>35</v>
      </c>
      <c r="G26" s="23"/>
      <c r="H26" s="40">
        <v>2</v>
      </c>
      <c r="I26" s="23"/>
      <c r="J26" s="23"/>
      <c r="K26" s="24">
        <f t="shared" si="1"/>
        <v>33</v>
      </c>
      <c r="L26" s="22">
        <f t="shared" si="2"/>
        <v>33</v>
      </c>
      <c r="M26" s="52"/>
      <c r="N26" s="30"/>
      <c r="O26" s="18"/>
      <c r="P26" s="22">
        <f t="shared" si="3"/>
        <v>35</v>
      </c>
      <c r="Q26" s="52"/>
      <c r="R26" s="41"/>
      <c r="S26" s="41"/>
      <c r="T26" s="22">
        <f t="shared" si="4"/>
        <v>35</v>
      </c>
      <c r="U26" s="40">
        <v>4</v>
      </c>
      <c r="V26" s="23"/>
      <c r="W26" s="23"/>
      <c r="X26" s="22">
        <f t="shared" si="5"/>
        <v>31</v>
      </c>
      <c r="Y26" s="26">
        <v>2</v>
      </c>
    </row>
    <row r="27" customHeight="1" spans="1:25">
      <c r="A27" s="18" t="s">
        <v>52</v>
      </c>
      <c r="B27" s="57">
        <v>33</v>
      </c>
      <c r="C27" s="35"/>
      <c r="D27" s="35"/>
      <c r="E27" s="41"/>
      <c r="F27" s="22">
        <f t="shared" si="0"/>
        <v>33</v>
      </c>
      <c r="G27" s="18"/>
      <c r="H27" s="41"/>
      <c r="I27" s="18"/>
      <c r="J27" s="18">
        <v>2</v>
      </c>
      <c r="K27" s="24">
        <f t="shared" si="1"/>
        <v>33</v>
      </c>
      <c r="L27" s="22">
        <f t="shared" si="2"/>
        <v>31</v>
      </c>
      <c r="M27" s="52"/>
      <c r="N27" s="30"/>
      <c r="O27" s="18"/>
      <c r="P27" s="22">
        <f t="shared" si="3"/>
        <v>33</v>
      </c>
      <c r="Q27" s="52"/>
      <c r="R27" s="41"/>
      <c r="S27" s="41"/>
      <c r="T27" s="22">
        <f t="shared" si="4"/>
        <v>33</v>
      </c>
      <c r="U27" s="41">
        <v>1</v>
      </c>
      <c r="V27" s="23"/>
      <c r="W27" s="23"/>
      <c r="X27" s="22">
        <f t="shared" si="5"/>
        <v>32</v>
      </c>
      <c r="Y27" s="2" t="s">
        <v>53</v>
      </c>
    </row>
    <row r="28" customHeight="1" spans="1:25">
      <c r="A28" s="18" t="s">
        <v>54</v>
      </c>
      <c r="B28" s="57">
        <v>35</v>
      </c>
      <c r="C28" s="54"/>
      <c r="D28" s="54"/>
      <c r="E28" s="41"/>
      <c r="F28" s="22">
        <f t="shared" si="0"/>
        <v>35</v>
      </c>
      <c r="G28" s="18"/>
      <c r="H28" s="41">
        <v>1</v>
      </c>
      <c r="I28" s="18"/>
      <c r="J28" s="18">
        <v>0</v>
      </c>
      <c r="K28" s="24">
        <f t="shared" si="1"/>
        <v>34</v>
      </c>
      <c r="L28" s="22">
        <f t="shared" si="2"/>
        <v>34</v>
      </c>
      <c r="M28" s="52"/>
      <c r="N28" s="30"/>
      <c r="O28" s="18"/>
      <c r="P28" s="22">
        <f t="shared" si="3"/>
        <v>35</v>
      </c>
      <c r="Q28" s="52"/>
      <c r="R28" s="41"/>
      <c r="S28" s="41"/>
      <c r="T28" s="22">
        <f t="shared" si="4"/>
        <v>35</v>
      </c>
      <c r="U28" s="41">
        <v>4</v>
      </c>
      <c r="V28" s="23"/>
      <c r="W28" s="23"/>
      <c r="X28" s="22">
        <f t="shared" si="5"/>
        <v>31</v>
      </c>
      <c r="Y28" s="26">
        <v>5</v>
      </c>
    </row>
    <row r="29" ht="14.25" customHeight="1" spans="1:25">
      <c r="A29" s="18" t="s">
        <v>55</v>
      </c>
      <c r="B29" s="23">
        <f>SUM(B3:B28)</f>
        <v>1048</v>
      </c>
      <c r="C29" s="23">
        <f t="shared" ref="C29:X29" si="6">SUM(C3:C28)</f>
        <v>18</v>
      </c>
      <c r="D29" s="23">
        <f t="shared" si="6"/>
        <v>27</v>
      </c>
      <c r="E29" s="23">
        <f t="shared" si="6"/>
        <v>35</v>
      </c>
      <c r="F29" s="23">
        <f t="shared" si="6"/>
        <v>968</v>
      </c>
      <c r="G29" s="23">
        <f t="shared" si="6"/>
        <v>23</v>
      </c>
      <c r="H29" s="23">
        <f t="shared" si="6"/>
        <v>16</v>
      </c>
      <c r="I29" s="23">
        <f t="shared" si="6"/>
        <v>34</v>
      </c>
      <c r="J29" s="23">
        <f t="shared" si="6"/>
        <v>12</v>
      </c>
      <c r="K29" s="23">
        <f t="shared" si="6"/>
        <v>975</v>
      </c>
      <c r="L29" s="23">
        <f t="shared" si="6"/>
        <v>997</v>
      </c>
      <c r="M29" s="23">
        <f t="shared" si="6"/>
        <v>40</v>
      </c>
      <c r="N29" s="23">
        <f t="shared" si="6"/>
        <v>39</v>
      </c>
      <c r="O29" s="23">
        <f t="shared" si="6"/>
        <v>17</v>
      </c>
      <c r="P29" s="23">
        <f t="shared" si="6"/>
        <v>952</v>
      </c>
      <c r="Q29" s="23">
        <f t="shared" si="6"/>
        <v>33</v>
      </c>
      <c r="R29" s="23">
        <f t="shared" si="6"/>
        <v>44</v>
      </c>
      <c r="S29" s="23">
        <f t="shared" si="6"/>
        <v>34</v>
      </c>
      <c r="T29" s="23">
        <f t="shared" si="6"/>
        <v>937</v>
      </c>
      <c r="U29" s="23">
        <f t="shared" si="6"/>
        <v>10</v>
      </c>
      <c r="V29" s="23">
        <f t="shared" si="6"/>
        <v>13</v>
      </c>
      <c r="W29" s="23">
        <f t="shared" si="6"/>
        <v>14</v>
      </c>
      <c r="X29" s="23">
        <f t="shared" si="6"/>
        <v>1011</v>
      </c>
    </row>
    <row r="30" customHeight="1" spans="1:25">
      <c r="C30" s="45">
        <f>C29+D29+E29+F29</f>
        <v>1048</v>
      </c>
      <c r="D30" s="45"/>
      <c r="E30" s="45"/>
      <c r="F30" s="46"/>
      <c r="G30" s="47">
        <f>G29+H29+I29+K29</f>
        <v>1048</v>
      </c>
      <c r="H30" s="47"/>
      <c r="I30" s="47"/>
      <c r="J30" s="47"/>
      <c r="K30" s="47"/>
      <c r="L30" s="48"/>
      <c r="M30" s="49">
        <f>M29+N29+O29+P29</f>
        <v>1048</v>
      </c>
      <c r="N30" s="49"/>
      <c r="O30" s="49"/>
      <c r="P30" s="50"/>
      <c r="Q30" s="47">
        <f>Q29+R29+S29+T29</f>
        <v>1048</v>
      </c>
      <c r="R30" s="47"/>
      <c r="S30" s="47"/>
      <c r="T30" s="48"/>
      <c r="U30" s="47">
        <f>U29+V29+W29+X29</f>
        <v>1048</v>
      </c>
      <c r="V30" s="47"/>
      <c r="W30" s="47"/>
      <c r="X30" s="48"/>
    </row>
    <row r="31" customHeight="1" spans="1:25">
      <c r="G31" s="51">
        <f>G29+H29+J29+L29</f>
        <v>1048</v>
      </c>
      <c r="H31" s="51"/>
      <c r="I31" s="51"/>
      <c r="J31" s="51"/>
      <c r="K31" s="51"/>
      <c r="L31" s="51"/>
    </row>
  </sheetData>
  <mergeCells count="13">
    <mergeCell ref="C1:F1"/>
    <mergeCell ref="G1:L1"/>
    <mergeCell ref="M1:P1"/>
    <mergeCell ref="Q1:T1"/>
    <mergeCell ref="U1:X1"/>
    <mergeCell ref="C30:F30"/>
    <mergeCell ref="G30:L30"/>
    <mergeCell ref="M30:P30"/>
    <mergeCell ref="Q30:T30"/>
    <mergeCell ref="U30:X30"/>
    <mergeCell ref="G31:L31"/>
    <mergeCell ref="A1:A2"/>
    <mergeCell ref="B1:B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1"/>
  <sheetViews>
    <sheetView workbookViewId="0">
      <selection activeCell="Q12" sqref="Q12"/>
    </sheetView>
  </sheetViews>
  <sheetFormatPr defaultColWidth="9" defaultRowHeight="13.5" customHeight="1"/>
  <cols>
    <col min="1" max="1" width="9" style="4"/>
    <col min="2" max="2" width="15.1666666666667" style="4" customWidth="1"/>
    <col min="3" max="4" width="9" style="4" customWidth="1"/>
    <col min="5" max="5" width="8.16666666666667" style="4" customWidth="1"/>
    <col min="6" max="6" width="9.5" style="5" customWidth="1"/>
    <col min="7" max="11" width="9" style="4" customWidth="1"/>
    <col min="12" max="12" width="9" style="5" customWidth="1"/>
    <col min="13" max="15" width="9" style="4" customWidth="1"/>
    <col min="16" max="16" width="9" style="5" customWidth="1"/>
    <col min="17" max="19" width="9" style="4" customWidth="1"/>
    <col min="20" max="20" width="9" style="5"/>
    <col min="21" max="23" width="9" style="4"/>
    <col min="24" max="24" width="9" style="5"/>
    <col min="25" max="40" width="9" style="4"/>
  </cols>
  <sheetData>
    <row r="1" s="1" customFormat="1" ht="24" customHeight="1" spans="1:40">
      <c r="A1" s="6" t="s">
        <v>0</v>
      </c>
      <c r="B1" s="6" t="s">
        <v>1</v>
      </c>
      <c r="C1" s="7" t="s">
        <v>2</v>
      </c>
      <c r="D1" s="7"/>
      <c r="E1" s="7"/>
      <c r="F1" s="8"/>
      <c r="G1" s="9" t="s">
        <v>3</v>
      </c>
      <c r="H1" s="10"/>
      <c r="I1" s="10"/>
      <c r="J1" s="10"/>
      <c r="K1" s="10"/>
      <c r="L1" s="11"/>
      <c r="M1" s="7" t="s">
        <v>4</v>
      </c>
      <c r="N1" s="7"/>
      <c r="O1" s="7"/>
      <c r="P1" s="8"/>
      <c r="Q1" s="9" t="s">
        <v>5</v>
      </c>
      <c r="R1" s="10"/>
      <c r="S1" s="10"/>
      <c r="T1" s="11"/>
      <c r="U1" s="12" t="s">
        <v>6</v>
      </c>
      <c r="V1" s="13"/>
      <c r="W1" s="13"/>
      <c r="X1" s="14"/>
    </row>
    <row r="2" s="2" customFormat="1" ht="54" customHeight="1" spans="1:40">
      <c r="A2" s="15"/>
      <c r="B2" s="15"/>
      <c r="C2" s="15" t="s">
        <v>7</v>
      </c>
      <c r="D2" s="15" t="s">
        <v>8</v>
      </c>
      <c r="E2" s="15" t="s">
        <v>9</v>
      </c>
      <c r="F2" s="16" t="s">
        <v>10</v>
      </c>
      <c r="G2" s="15" t="s">
        <v>11</v>
      </c>
      <c r="H2" s="15" t="s">
        <v>12</v>
      </c>
      <c r="I2" s="15" t="s">
        <v>13</v>
      </c>
      <c r="J2" s="15" t="s">
        <v>14</v>
      </c>
      <c r="K2" s="17" t="s">
        <v>15</v>
      </c>
      <c r="L2" s="16" t="s">
        <v>16</v>
      </c>
      <c r="M2" s="15" t="s">
        <v>7</v>
      </c>
      <c r="N2" s="15" t="s">
        <v>17</v>
      </c>
      <c r="O2" s="15" t="s">
        <v>18</v>
      </c>
      <c r="P2" s="16" t="s">
        <v>10</v>
      </c>
      <c r="Q2" s="15" t="s">
        <v>8</v>
      </c>
      <c r="R2" s="15" t="s">
        <v>19</v>
      </c>
      <c r="S2" s="15" t="s">
        <v>9</v>
      </c>
      <c r="T2" s="16" t="s">
        <v>10</v>
      </c>
      <c r="U2" s="15" t="s">
        <v>20</v>
      </c>
      <c r="V2" s="15" t="s">
        <v>21</v>
      </c>
      <c r="W2" s="15" t="s">
        <v>22</v>
      </c>
      <c r="X2" s="16" t="s">
        <v>10</v>
      </c>
    </row>
    <row r="3" customFormat="1" customHeight="1" spans="1:40">
      <c r="A3" s="18" t="s">
        <v>25</v>
      </c>
      <c r="B3" s="23">
        <v>37</v>
      </c>
      <c r="C3" s="35"/>
      <c r="D3" s="35"/>
      <c r="E3" s="21"/>
      <c r="F3" s="22">
        <f t="shared" ref="F3:F28" si="0">B3-C3-D3-E3</f>
        <v>37</v>
      </c>
      <c r="G3" s="23"/>
      <c r="H3" s="23"/>
      <c r="I3" s="23"/>
      <c r="J3" s="23"/>
      <c r="K3" s="24">
        <f t="shared" ref="K3:K28" si="1">B3-G3-H3-I3</f>
        <v>37</v>
      </c>
      <c r="L3" s="22">
        <f t="shared" ref="L3:L28" si="2">B3-G3-H3-J3</f>
        <v>37</v>
      </c>
      <c r="M3" s="35"/>
      <c r="N3" s="25"/>
      <c r="O3" s="23"/>
      <c r="P3" s="22">
        <f t="shared" ref="P3:P28" si="3">B3-M3-N3-O3</f>
        <v>37</v>
      </c>
      <c r="Q3" s="35"/>
      <c r="R3" s="52"/>
      <c r="S3" s="21"/>
      <c r="T3" s="22">
        <f t="shared" ref="T3:T28" si="4">B3-Q3-R3-S3</f>
        <v>37</v>
      </c>
      <c r="U3" s="23"/>
      <c r="V3" s="23"/>
      <c r="W3" s="23"/>
      <c r="X3" s="22">
        <f t="shared" ref="X3:X28" si="5">B3-U3-V3-W3</f>
        <v>37</v>
      </c>
      <c r="Y3" s="2">
        <v>3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1" customHeight="1" spans="1:40">
      <c r="A4" s="18" t="s">
        <v>27</v>
      </c>
      <c r="B4" s="23">
        <v>37</v>
      </c>
      <c r="C4" s="35"/>
      <c r="D4" s="35"/>
      <c r="E4" s="21"/>
      <c r="F4" s="22">
        <f t="shared" si="0"/>
        <v>37</v>
      </c>
      <c r="G4" s="23"/>
      <c r="H4" s="23"/>
      <c r="I4" s="23"/>
      <c r="J4" s="23">
        <v>1</v>
      </c>
      <c r="K4" s="24">
        <f t="shared" si="1"/>
        <v>37</v>
      </c>
      <c r="L4" s="22">
        <f t="shared" si="2"/>
        <v>36</v>
      </c>
      <c r="M4" s="35"/>
      <c r="N4" s="27"/>
      <c r="O4" s="23"/>
      <c r="P4" s="22">
        <f t="shared" si="3"/>
        <v>37</v>
      </c>
      <c r="Q4" s="35"/>
      <c r="R4" s="52"/>
      <c r="S4" s="21"/>
      <c r="T4" s="22">
        <f t="shared" si="4"/>
        <v>37</v>
      </c>
      <c r="U4" s="23"/>
      <c r="V4" s="23"/>
      <c r="W4" s="23">
        <v>1</v>
      </c>
      <c r="X4" s="22">
        <f t="shared" si="5"/>
        <v>36</v>
      </c>
      <c r="Y4" s="2">
        <v>3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customFormat="1" ht="14.25" customHeight="1" spans="1:40">
      <c r="A5" s="18" t="s">
        <v>31</v>
      </c>
      <c r="B5" s="23">
        <v>41</v>
      </c>
      <c r="C5" s="35">
        <v>8</v>
      </c>
      <c r="D5" s="35"/>
      <c r="E5" s="21">
        <v>4</v>
      </c>
      <c r="F5" s="22">
        <f t="shared" si="0"/>
        <v>29</v>
      </c>
      <c r="G5" s="23"/>
      <c r="H5" s="23"/>
      <c r="I5" s="23"/>
      <c r="J5" s="23">
        <v>1</v>
      </c>
      <c r="K5" s="24">
        <f t="shared" si="1"/>
        <v>41</v>
      </c>
      <c r="L5" s="22">
        <f t="shared" si="2"/>
        <v>40</v>
      </c>
      <c r="M5" s="35">
        <v>8</v>
      </c>
      <c r="N5" s="27">
        <v>4</v>
      </c>
      <c r="O5" s="23"/>
      <c r="P5" s="22">
        <f t="shared" si="3"/>
        <v>29</v>
      </c>
      <c r="Q5" s="35"/>
      <c r="R5" s="20"/>
      <c r="S5" s="21">
        <v>4</v>
      </c>
      <c r="T5" s="28">
        <f t="shared" si="4"/>
        <v>37</v>
      </c>
      <c r="U5" s="23"/>
      <c r="V5" s="23"/>
      <c r="W5" s="23"/>
      <c r="X5" s="22">
        <f t="shared" si="5"/>
        <v>41</v>
      </c>
      <c r="Y5" s="2" t="s">
        <v>32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customFormat="1" ht="14.25" customHeight="1" spans="1:40">
      <c r="A6" s="18" t="s">
        <v>33</v>
      </c>
      <c r="B6" s="23">
        <v>44</v>
      </c>
      <c r="C6" s="35">
        <v>8</v>
      </c>
      <c r="D6" s="35"/>
      <c r="E6" s="21">
        <v>2</v>
      </c>
      <c r="F6" s="22">
        <f t="shared" si="0"/>
        <v>34</v>
      </c>
      <c r="G6" s="23">
        <v>4</v>
      </c>
      <c r="H6" s="23"/>
      <c r="I6" s="23"/>
      <c r="J6" s="23"/>
      <c r="K6" s="24">
        <f t="shared" si="1"/>
        <v>40</v>
      </c>
      <c r="L6" s="22">
        <f t="shared" si="2"/>
        <v>40</v>
      </c>
      <c r="M6" s="35">
        <v>8</v>
      </c>
      <c r="N6" s="27"/>
      <c r="O6" s="23"/>
      <c r="P6" s="22">
        <f t="shared" si="3"/>
        <v>36</v>
      </c>
      <c r="Q6" s="35"/>
      <c r="R6" s="41"/>
      <c r="S6" s="21">
        <v>2</v>
      </c>
      <c r="T6" s="22">
        <f t="shared" si="4"/>
        <v>42</v>
      </c>
      <c r="U6" s="23"/>
      <c r="V6" s="23"/>
      <c r="W6" s="23"/>
      <c r="X6" s="22">
        <f t="shared" si="5"/>
        <v>44</v>
      </c>
      <c r="Y6" s="2">
        <v>3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customFormat="1" ht="14.25" customHeight="1" spans="1:40">
      <c r="A7" s="18" t="s">
        <v>35</v>
      </c>
      <c r="B7" s="23">
        <v>38</v>
      </c>
      <c r="C7" s="35">
        <v>3</v>
      </c>
      <c r="D7" s="35"/>
      <c r="E7" s="21">
        <v>3</v>
      </c>
      <c r="F7" s="22">
        <f t="shared" si="0"/>
        <v>32</v>
      </c>
      <c r="G7" s="23"/>
      <c r="H7" s="23"/>
      <c r="I7" s="23"/>
      <c r="J7" s="23"/>
      <c r="K7" s="24">
        <f t="shared" si="1"/>
        <v>38</v>
      </c>
      <c r="L7" s="22">
        <f t="shared" si="2"/>
        <v>38</v>
      </c>
      <c r="M7" s="35">
        <v>3</v>
      </c>
      <c r="N7" s="27">
        <v>2</v>
      </c>
      <c r="O7" s="23"/>
      <c r="P7" s="22">
        <f t="shared" si="3"/>
        <v>33</v>
      </c>
      <c r="Q7" s="35"/>
      <c r="R7" s="41"/>
      <c r="S7" s="21">
        <v>3</v>
      </c>
      <c r="T7" s="28">
        <f t="shared" si="4"/>
        <v>35</v>
      </c>
      <c r="U7" s="23"/>
      <c r="V7" s="23"/>
      <c r="W7" s="23"/>
      <c r="X7" s="22">
        <f t="shared" si="5"/>
        <v>38</v>
      </c>
      <c r="Y7" s="2">
        <v>2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customFormat="1" ht="14.25" customHeight="1" spans="1:40">
      <c r="A8" s="18" t="s">
        <v>36</v>
      </c>
      <c r="B8" s="23">
        <v>47</v>
      </c>
      <c r="C8" s="35">
        <v>1</v>
      </c>
      <c r="D8" s="35">
        <v>6</v>
      </c>
      <c r="E8" s="21">
        <v>4</v>
      </c>
      <c r="F8" s="22">
        <f t="shared" si="0"/>
        <v>36</v>
      </c>
      <c r="G8" s="23"/>
      <c r="H8" s="23"/>
      <c r="I8" s="23">
        <v>7</v>
      </c>
      <c r="J8" s="23"/>
      <c r="K8" s="24">
        <f t="shared" si="1"/>
        <v>40</v>
      </c>
      <c r="L8" s="22">
        <f t="shared" si="2"/>
        <v>47</v>
      </c>
      <c r="M8" s="35">
        <v>1</v>
      </c>
      <c r="N8" s="27"/>
      <c r="O8" s="23">
        <v>3</v>
      </c>
      <c r="P8" s="22">
        <f t="shared" si="3"/>
        <v>43</v>
      </c>
      <c r="Q8" s="35">
        <v>6</v>
      </c>
      <c r="R8" s="36">
        <v>4</v>
      </c>
      <c r="S8" s="21">
        <v>4</v>
      </c>
      <c r="T8" s="28">
        <f t="shared" si="4"/>
        <v>33</v>
      </c>
      <c r="U8" s="23"/>
      <c r="V8" s="23">
        <v>1</v>
      </c>
      <c r="W8" s="23">
        <v>1</v>
      </c>
      <c r="X8" s="22">
        <f t="shared" si="5"/>
        <v>45</v>
      </c>
      <c r="Y8" s="2">
        <v>6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customFormat="1" ht="14.25" customHeight="1" spans="1:40">
      <c r="A9" s="18" t="s">
        <v>38</v>
      </c>
      <c r="B9" s="23">
        <v>46</v>
      </c>
      <c r="C9" s="35"/>
      <c r="D9" s="35">
        <v>2</v>
      </c>
      <c r="E9" s="21">
        <v>3</v>
      </c>
      <c r="F9" s="22">
        <f t="shared" si="0"/>
        <v>41</v>
      </c>
      <c r="G9" s="23">
        <v>2</v>
      </c>
      <c r="H9" s="23"/>
      <c r="I9" s="23">
        <v>2</v>
      </c>
      <c r="J9" s="23"/>
      <c r="K9" s="24">
        <f t="shared" si="1"/>
        <v>42</v>
      </c>
      <c r="L9" s="22">
        <f t="shared" si="2"/>
        <v>44</v>
      </c>
      <c r="M9" s="35"/>
      <c r="N9" s="25">
        <v>2</v>
      </c>
      <c r="O9" s="23"/>
      <c r="P9" s="22">
        <f t="shared" si="3"/>
        <v>44</v>
      </c>
      <c r="Q9" s="35">
        <v>2</v>
      </c>
      <c r="R9" s="36">
        <v>2</v>
      </c>
      <c r="S9" s="21">
        <v>3</v>
      </c>
      <c r="T9" s="22">
        <f t="shared" si="4"/>
        <v>39</v>
      </c>
      <c r="U9" s="23"/>
      <c r="V9" s="23">
        <v>3</v>
      </c>
      <c r="W9" s="23">
        <v>1</v>
      </c>
      <c r="X9" s="22">
        <f t="shared" si="5"/>
        <v>42</v>
      </c>
      <c r="Y9" s="2">
        <v>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customFormat="1" ht="14.25" customHeight="1" spans="1:40">
      <c r="A10" s="18" t="s">
        <v>41</v>
      </c>
      <c r="B10" s="23">
        <v>42</v>
      </c>
      <c r="C10" s="35"/>
      <c r="D10" s="35">
        <v>1</v>
      </c>
      <c r="E10" s="21">
        <v>3</v>
      </c>
      <c r="F10" s="22">
        <f t="shared" si="0"/>
        <v>38</v>
      </c>
      <c r="G10" s="23">
        <v>2</v>
      </c>
      <c r="H10" s="23">
        <v>1</v>
      </c>
      <c r="I10" s="23"/>
      <c r="J10" s="23"/>
      <c r="K10" s="24">
        <f t="shared" si="1"/>
        <v>39</v>
      </c>
      <c r="L10" s="22">
        <f t="shared" si="2"/>
        <v>39</v>
      </c>
      <c r="M10" s="35"/>
      <c r="N10" s="27">
        <v>7</v>
      </c>
      <c r="O10" s="23"/>
      <c r="P10" s="28">
        <f t="shared" si="3"/>
        <v>35</v>
      </c>
      <c r="Q10" s="35">
        <v>1</v>
      </c>
      <c r="R10" s="36">
        <v>4</v>
      </c>
      <c r="S10" s="21">
        <v>3</v>
      </c>
      <c r="T10" s="22">
        <f t="shared" si="4"/>
        <v>34</v>
      </c>
      <c r="U10" s="23"/>
      <c r="V10" s="23"/>
      <c r="W10" s="23"/>
      <c r="X10" s="22">
        <f t="shared" si="5"/>
        <v>42</v>
      </c>
      <c r="Y10" s="2">
        <v>7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customFormat="1" customHeight="1" spans="1:40">
      <c r="A11" s="18" t="s">
        <v>44</v>
      </c>
      <c r="B11" s="23">
        <v>41</v>
      </c>
      <c r="C11" s="35"/>
      <c r="D11" s="35"/>
      <c r="E11" s="21"/>
      <c r="F11" s="22">
        <f t="shared" si="0"/>
        <v>41</v>
      </c>
      <c r="G11" s="23">
        <v>2</v>
      </c>
      <c r="H11" s="23">
        <v>3</v>
      </c>
      <c r="I11" s="23">
        <v>9</v>
      </c>
      <c r="J11" s="23"/>
      <c r="K11" s="24">
        <f t="shared" si="1"/>
        <v>27</v>
      </c>
      <c r="L11" s="22">
        <f t="shared" si="2"/>
        <v>36</v>
      </c>
      <c r="M11" s="35"/>
      <c r="N11" s="27">
        <v>7</v>
      </c>
      <c r="O11" s="23">
        <v>4</v>
      </c>
      <c r="P11" s="22">
        <f t="shared" si="3"/>
        <v>30</v>
      </c>
      <c r="Q11" s="35"/>
      <c r="R11" s="41">
        <v>0</v>
      </c>
      <c r="S11" s="21"/>
      <c r="T11" s="22">
        <f t="shared" si="4"/>
        <v>41</v>
      </c>
      <c r="U11" s="23"/>
      <c r="V11" s="23"/>
      <c r="W11" s="23"/>
      <c r="X11" s="22">
        <f t="shared" si="5"/>
        <v>41</v>
      </c>
      <c r="Y11" s="2">
        <v>3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customFormat="1" customHeight="1" spans="1:40">
      <c r="A12" s="18" t="s">
        <v>45</v>
      </c>
      <c r="B12" s="23">
        <v>44</v>
      </c>
      <c r="C12" s="42">
        <v>4</v>
      </c>
      <c r="D12" s="37">
        <v>1</v>
      </c>
      <c r="E12" s="21"/>
      <c r="F12" s="28">
        <f t="shared" si="0"/>
        <v>39</v>
      </c>
      <c r="G12" s="23">
        <v>1</v>
      </c>
      <c r="H12" s="23"/>
      <c r="I12" s="23">
        <v>2</v>
      </c>
      <c r="J12" s="23">
        <v>1</v>
      </c>
      <c r="K12" s="24">
        <f t="shared" si="1"/>
        <v>41</v>
      </c>
      <c r="L12" s="22">
        <f t="shared" si="2"/>
        <v>42</v>
      </c>
      <c r="M12" s="42">
        <v>4</v>
      </c>
      <c r="N12" s="43"/>
      <c r="O12" s="18">
        <v>0</v>
      </c>
      <c r="P12" s="28">
        <f t="shared" si="3"/>
        <v>40</v>
      </c>
      <c r="Q12" s="37">
        <v>1</v>
      </c>
      <c r="R12" s="44">
        <v>10</v>
      </c>
      <c r="S12" s="21"/>
      <c r="T12" s="28">
        <f t="shared" si="4"/>
        <v>33</v>
      </c>
      <c r="U12" s="23"/>
      <c r="V12" s="23">
        <v>1</v>
      </c>
      <c r="W12" s="23">
        <v>3</v>
      </c>
      <c r="X12" s="22">
        <f t="shared" si="5"/>
        <v>40</v>
      </c>
      <c r="Y12" s="2">
        <v>3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customFormat="1" ht="14.25" customHeight="1" spans="1:40">
      <c r="A13" s="18" t="s">
        <v>47</v>
      </c>
      <c r="B13" s="23">
        <v>47</v>
      </c>
      <c r="C13" s="35"/>
      <c r="D13" s="35"/>
      <c r="E13" s="21">
        <v>3</v>
      </c>
      <c r="F13" s="22">
        <f t="shared" si="0"/>
        <v>44</v>
      </c>
      <c r="G13" s="23">
        <v>1</v>
      </c>
      <c r="H13" s="23"/>
      <c r="I13" s="23">
        <v>1</v>
      </c>
      <c r="J13" s="23"/>
      <c r="K13" s="24">
        <f t="shared" si="1"/>
        <v>45</v>
      </c>
      <c r="L13" s="22">
        <f t="shared" si="2"/>
        <v>46</v>
      </c>
      <c r="M13" s="35"/>
      <c r="N13" s="30"/>
      <c r="O13" s="18">
        <v>1</v>
      </c>
      <c r="P13" s="22">
        <f t="shared" si="3"/>
        <v>46</v>
      </c>
      <c r="Q13" s="35"/>
      <c r="R13" s="41">
        <v>7</v>
      </c>
      <c r="S13" s="21">
        <v>3</v>
      </c>
      <c r="T13" s="28">
        <f t="shared" si="4"/>
        <v>37</v>
      </c>
      <c r="U13" s="23"/>
      <c r="V13" s="23">
        <v>1</v>
      </c>
      <c r="W13" s="23">
        <v>1</v>
      </c>
      <c r="X13" s="22">
        <f t="shared" si="5"/>
        <v>45</v>
      </c>
      <c r="Y13" s="26">
        <v>3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customFormat="1" customHeight="1" spans="1:40">
      <c r="A14" s="18" t="s">
        <v>50</v>
      </c>
      <c r="B14" s="23">
        <v>36</v>
      </c>
      <c r="C14" s="35"/>
      <c r="D14" s="35"/>
      <c r="E14" s="21"/>
      <c r="F14" s="22">
        <f t="shared" si="0"/>
        <v>36</v>
      </c>
      <c r="G14" s="23"/>
      <c r="H14" s="23">
        <v>1</v>
      </c>
      <c r="I14" s="23"/>
      <c r="J14" s="23"/>
      <c r="K14" s="24">
        <f t="shared" si="1"/>
        <v>35</v>
      </c>
      <c r="L14" s="22">
        <f t="shared" si="2"/>
        <v>35</v>
      </c>
      <c r="M14" s="35"/>
      <c r="N14" s="30"/>
      <c r="O14" s="18"/>
      <c r="P14" s="22">
        <f t="shared" si="3"/>
        <v>36</v>
      </c>
      <c r="Q14" s="35"/>
      <c r="R14" s="41"/>
      <c r="S14" s="21"/>
      <c r="T14" s="22">
        <f t="shared" si="4"/>
        <v>36</v>
      </c>
      <c r="U14" s="23"/>
      <c r="V14" s="23"/>
      <c r="W14" s="23"/>
      <c r="X14" s="22">
        <f t="shared" si="5"/>
        <v>36</v>
      </c>
      <c r="Y14" s="26">
        <v>6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customFormat="1" customHeight="1" spans="1:40">
      <c r="A15" s="18" t="s">
        <v>51</v>
      </c>
      <c r="B15" s="23">
        <v>35</v>
      </c>
      <c r="C15" s="35"/>
      <c r="D15" s="35"/>
      <c r="E15" s="31"/>
      <c r="F15" s="22">
        <f t="shared" si="0"/>
        <v>35</v>
      </c>
      <c r="G15" s="23"/>
      <c r="H15" s="23">
        <v>4</v>
      </c>
      <c r="I15" s="23"/>
      <c r="J15" s="23"/>
      <c r="K15" s="24">
        <f t="shared" si="1"/>
        <v>31</v>
      </c>
      <c r="L15" s="22">
        <f t="shared" si="2"/>
        <v>31</v>
      </c>
      <c r="M15" s="35"/>
      <c r="N15" s="30"/>
      <c r="O15" s="18"/>
      <c r="P15" s="22">
        <f t="shared" si="3"/>
        <v>35</v>
      </c>
      <c r="Q15" s="35"/>
      <c r="R15" s="41"/>
      <c r="S15" s="31"/>
      <c r="T15" s="22">
        <f t="shared" si="4"/>
        <v>35</v>
      </c>
      <c r="U15" s="23">
        <v>6</v>
      </c>
      <c r="V15" s="23"/>
      <c r="W15" s="23"/>
      <c r="X15" s="22">
        <f t="shared" si="5"/>
        <v>29</v>
      </c>
      <c r="Y15" s="26">
        <v>2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customFormat="1" customHeight="1" spans="1:40">
      <c r="A16" s="18" t="s">
        <v>52</v>
      </c>
      <c r="B16" s="19">
        <v>33</v>
      </c>
      <c r="C16" s="35"/>
      <c r="D16" s="35"/>
      <c r="E16" s="31"/>
      <c r="F16" s="22">
        <f t="shared" si="0"/>
        <v>33</v>
      </c>
      <c r="G16" s="18"/>
      <c r="H16" s="18"/>
      <c r="I16" s="18"/>
      <c r="J16" s="18">
        <v>2</v>
      </c>
      <c r="K16" s="24">
        <f t="shared" si="1"/>
        <v>33</v>
      </c>
      <c r="L16" s="22">
        <f t="shared" si="2"/>
        <v>31</v>
      </c>
      <c r="M16" s="35"/>
      <c r="N16" s="30"/>
      <c r="O16" s="18"/>
      <c r="P16" s="22">
        <f t="shared" si="3"/>
        <v>33</v>
      </c>
      <c r="Q16" s="35"/>
      <c r="R16" s="41"/>
      <c r="S16" s="31"/>
      <c r="T16" s="22">
        <f t="shared" si="4"/>
        <v>33</v>
      </c>
      <c r="U16" s="23">
        <v>1</v>
      </c>
      <c r="V16" s="23"/>
      <c r="W16" s="23"/>
      <c r="X16" s="22">
        <f t="shared" si="5"/>
        <v>32</v>
      </c>
      <c r="Y16" s="2" t="s">
        <v>53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customFormat="1" customHeight="1" spans="1:40">
      <c r="A17" s="18" t="s">
        <v>54</v>
      </c>
      <c r="B17" s="23">
        <v>35</v>
      </c>
      <c r="C17" s="54"/>
      <c r="D17" s="54"/>
      <c r="E17" s="31"/>
      <c r="F17" s="22">
        <f t="shared" si="0"/>
        <v>35</v>
      </c>
      <c r="G17" s="18"/>
      <c r="H17" s="18">
        <v>1</v>
      </c>
      <c r="I17" s="18"/>
      <c r="J17" s="18">
        <v>0</v>
      </c>
      <c r="K17" s="24">
        <f t="shared" si="1"/>
        <v>34</v>
      </c>
      <c r="L17" s="22">
        <f t="shared" si="2"/>
        <v>34</v>
      </c>
      <c r="M17" s="54"/>
      <c r="N17" s="30"/>
      <c r="O17" s="18"/>
      <c r="P17" s="22">
        <f t="shared" si="3"/>
        <v>35</v>
      </c>
      <c r="Q17" s="54"/>
      <c r="R17" s="41"/>
      <c r="S17" s="31"/>
      <c r="T17" s="22">
        <f t="shared" si="4"/>
        <v>35</v>
      </c>
      <c r="U17" s="23">
        <v>4</v>
      </c>
      <c r="V17" s="23"/>
      <c r="W17" s="23"/>
      <c r="X17" s="22">
        <f t="shared" si="5"/>
        <v>31</v>
      </c>
      <c r="Y17" s="26">
        <v>5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customFormat="1" customHeight="1" spans="1:40">
      <c r="A18" s="18" t="s">
        <v>24</v>
      </c>
      <c r="B18" s="19">
        <v>39</v>
      </c>
      <c r="C18" s="35"/>
      <c r="D18" s="35"/>
      <c r="E18" s="21"/>
      <c r="F18" s="22">
        <f t="shared" si="0"/>
        <v>39</v>
      </c>
      <c r="G18" s="23"/>
      <c r="H18" s="23"/>
      <c r="I18" s="23"/>
      <c r="J18" s="23"/>
      <c r="K18" s="24">
        <f t="shared" si="1"/>
        <v>39</v>
      </c>
      <c r="L18" s="22">
        <f t="shared" si="2"/>
        <v>39</v>
      </c>
      <c r="M18" s="35"/>
      <c r="N18" s="25"/>
      <c r="O18" s="23"/>
      <c r="P18" s="22">
        <f t="shared" si="3"/>
        <v>39</v>
      </c>
      <c r="Q18" s="35"/>
      <c r="R18" s="52"/>
      <c r="S18" s="21"/>
      <c r="T18" s="22">
        <f t="shared" si="4"/>
        <v>39</v>
      </c>
      <c r="U18" s="23"/>
      <c r="V18" s="23"/>
      <c r="W18" s="23">
        <v>3</v>
      </c>
      <c r="X18" s="22">
        <f t="shared" si="5"/>
        <v>36</v>
      </c>
      <c r="Y18" s="26">
        <v>3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customFormat="1" customHeight="1" spans="1:40">
      <c r="A19" s="18" t="s">
        <v>26</v>
      </c>
      <c r="B19" s="23">
        <v>42</v>
      </c>
      <c r="C19" s="35"/>
      <c r="D19" s="35"/>
      <c r="E19" s="21"/>
      <c r="F19" s="22">
        <f t="shared" si="0"/>
        <v>42</v>
      </c>
      <c r="G19" s="23">
        <v>1</v>
      </c>
      <c r="H19" s="23"/>
      <c r="I19" s="23"/>
      <c r="J19" s="23"/>
      <c r="K19" s="24">
        <f t="shared" si="1"/>
        <v>41</v>
      </c>
      <c r="L19" s="22">
        <f t="shared" si="2"/>
        <v>41</v>
      </c>
      <c r="M19" s="35"/>
      <c r="N19" s="27"/>
      <c r="O19" s="23"/>
      <c r="P19" s="22">
        <f t="shared" si="3"/>
        <v>42</v>
      </c>
      <c r="Q19" s="35"/>
      <c r="R19" s="52"/>
      <c r="S19" s="21"/>
      <c r="T19" s="22">
        <f t="shared" si="4"/>
        <v>42</v>
      </c>
      <c r="U19" s="23"/>
      <c r="V19" s="23"/>
      <c r="W19" s="23"/>
      <c r="X19" s="22">
        <f t="shared" si="5"/>
        <v>42</v>
      </c>
      <c r="Y19" s="2">
        <v>3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customFormat="1" customHeight="1" spans="1:40">
      <c r="A20" s="18" t="s">
        <v>28</v>
      </c>
      <c r="B20" s="23">
        <v>36</v>
      </c>
      <c r="C20" s="35"/>
      <c r="D20" s="35"/>
      <c r="E20" s="21"/>
      <c r="F20" s="22">
        <f t="shared" si="0"/>
        <v>36</v>
      </c>
      <c r="G20" s="23">
        <v>1</v>
      </c>
      <c r="H20" s="23"/>
      <c r="I20" s="23"/>
      <c r="J20" s="23"/>
      <c r="K20" s="24">
        <f t="shared" si="1"/>
        <v>35</v>
      </c>
      <c r="L20" s="22">
        <f t="shared" si="2"/>
        <v>35</v>
      </c>
      <c r="M20" s="35"/>
      <c r="N20" s="27"/>
      <c r="O20" s="23"/>
      <c r="P20" s="22">
        <f t="shared" si="3"/>
        <v>36</v>
      </c>
      <c r="Q20" s="35"/>
      <c r="R20" s="52"/>
      <c r="S20" s="21"/>
      <c r="T20" s="22">
        <f t="shared" si="4"/>
        <v>36</v>
      </c>
      <c r="U20" s="23"/>
      <c r="V20" s="23"/>
      <c r="W20" s="23"/>
      <c r="X20" s="22">
        <f t="shared" si="5"/>
        <v>36</v>
      </c>
      <c r="Y20" s="2">
        <v>2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customFormat="1" customHeight="1" spans="1:40">
      <c r="A21" s="18" t="s">
        <v>29</v>
      </c>
      <c r="B21" s="23">
        <v>41</v>
      </c>
      <c r="C21" s="35">
        <v>8</v>
      </c>
      <c r="D21" s="35"/>
      <c r="E21" s="21"/>
      <c r="F21" s="22">
        <f t="shared" si="0"/>
        <v>33</v>
      </c>
      <c r="G21" s="23"/>
      <c r="H21" s="23"/>
      <c r="I21" s="23"/>
      <c r="J21" s="23"/>
      <c r="K21" s="24">
        <f t="shared" si="1"/>
        <v>41</v>
      </c>
      <c r="L21" s="22">
        <f t="shared" si="2"/>
        <v>41</v>
      </c>
      <c r="M21" s="35">
        <v>8</v>
      </c>
      <c r="N21" s="27"/>
      <c r="O21" s="23"/>
      <c r="P21" s="22">
        <f t="shared" si="3"/>
        <v>33</v>
      </c>
      <c r="Q21" s="35"/>
      <c r="R21" s="53"/>
      <c r="S21" s="21"/>
      <c r="T21" s="22">
        <f t="shared" si="4"/>
        <v>41</v>
      </c>
      <c r="U21" s="23"/>
      <c r="V21" s="23">
        <v>2</v>
      </c>
      <c r="W21" s="23"/>
      <c r="X21" s="22">
        <f t="shared" si="5"/>
        <v>39</v>
      </c>
      <c r="Y21" s="2" t="s">
        <v>30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customFormat="1" ht="14.25" customHeight="1" spans="1:40">
      <c r="A22" s="18" t="s">
        <v>34</v>
      </c>
      <c r="B22" s="19">
        <v>38</v>
      </c>
      <c r="C22" s="35">
        <v>5</v>
      </c>
      <c r="D22" s="35"/>
      <c r="E22" s="29"/>
      <c r="F22" s="22">
        <f t="shared" si="0"/>
        <v>33</v>
      </c>
      <c r="G22" s="23">
        <v>1</v>
      </c>
      <c r="H22" s="23"/>
      <c r="I22" s="23"/>
      <c r="J22" s="23"/>
      <c r="K22" s="24">
        <f t="shared" si="1"/>
        <v>37</v>
      </c>
      <c r="L22" s="22">
        <f t="shared" si="2"/>
        <v>37</v>
      </c>
      <c r="M22" s="35">
        <v>5</v>
      </c>
      <c r="N22" s="25">
        <v>5</v>
      </c>
      <c r="O22" s="23"/>
      <c r="P22" s="22">
        <f t="shared" si="3"/>
        <v>28</v>
      </c>
      <c r="Q22" s="35"/>
      <c r="R22" s="41"/>
      <c r="S22" s="29"/>
      <c r="T22" s="22">
        <f t="shared" si="4"/>
        <v>38</v>
      </c>
      <c r="U22" s="23"/>
      <c r="V22" s="23"/>
      <c r="W22" s="23"/>
      <c r="X22" s="22">
        <f t="shared" si="5"/>
        <v>38</v>
      </c>
      <c r="Y22" s="2">
        <v>3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customFormat="1" customHeight="1" spans="1:40">
      <c r="A23" s="18" t="s">
        <v>37</v>
      </c>
      <c r="B23" s="23">
        <v>44</v>
      </c>
      <c r="C23" s="35"/>
      <c r="D23" s="35">
        <v>1</v>
      </c>
      <c r="E23" s="21"/>
      <c r="F23" s="22">
        <f t="shared" si="0"/>
        <v>43</v>
      </c>
      <c r="G23" s="23">
        <v>2</v>
      </c>
      <c r="H23" s="23"/>
      <c r="I23" s="23"/>
      <c r="J23" s="23">
        <v>1</v>
      </c>
      <c r="K23" s="24">
        <f t="shared" si="1"/>
        <v>42</v>
      </c>
      <c r="L23" s="22">
        <f t="shared" si="2"/>
        <v>41</v>
      </c>
      <c r="M23" s="35"/>
      <c r="N23" s="27">
        <v>5</v>
      </c>
      <c r="O23" s="23"/>
      <c r="P23" s="22">
        <f t="shared" si="3"/>
        <v>39</v>
      </c>
      <c r="Q23" s="35">
        <v>1</v>
      </c>
      <c r="R23" s="36">
        <v>5</v>
      </c>
      <c r="S23" s="21"/>
      <c r="T23" s="22">
        <f t="shared" si="4"/>
        <v>38</v>
      </c>
      <c r="U23" s="23"/>
      <c r="V23" s="23"/>
      <c r="W23" s="23">
        <v>2</v>
      </c>
      <c r="X23" s="22">
        <f t="shared" si="5"/>
        <v>42</v>
      </c>
      <c r="Y23" s="2">
        <v>7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customFormat="1" ht="14.25" customHeight="1" spans="1:40">
      <c r="A24" s="18" t="s">
        <v>39</v>
      </c>
      <c r="B24" s="19">
        <v>43</v>
      </c>
      <c r="C24" s="35"/>
      <c r="D24" s="35">
        <v>2</v>
      </c>
      <c r="E24" s="21">
        <v>4</v>
      </c>
      <c r="F24" s="22">
        <f t="shared" si="0"/>
        <v>37</v>
      </c>
      <c r="G24" s="23">
        <v>3</v>
      </c>
      <c r="H24" s="23"/>
      <c r="I24" s="23"/>
      <c r="J24" s="23"/>
      <c r="K24" s="24">
        <f t="shared" si="1"/>
        <v>40</v>
      </c>
      <c r="L24" s="22">
        <f t="shared" si="2"/>
        <v>40</v>
      </c>
      <c r="M24" s="35">
        <v>1</v>
      </c>
      <c r="N24" s="25"/>
      <c r="O24" s="23"/>
      <c r="P24" s="22">
        <f t="shared" si="3"/>
        <v>42</v>
      </c>
      <c r="Q24" s="35">
        <v>2</v>
      </c>
      <c r="R24" s="36">
        <v>2</v>
      </c>
      <c r="S24" s="21">
        <v>4</v>
      </c>
      <c r="T24" s="22">
        <f t="shared" si="4"/>
        <v>35</v>
      </c>
      <c r="U24" s="23"/>
      <c r="V24" s="23"/>
      <c r="W24" s="23"/>
      <c r="X24" s="22">
        <f t="shared" si="5"/>
        <v>43</v>
      </c>
      <c r="Y24" s="2" t="s">
        <v>40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customFormat="1" ht="14.25" customHeight="1" spans="1:40">
      <c r="A25" s="18" t="s">
        <v>42</v>
      </c>
      <c r="B25" s="23">
        <v>38</v>
      </c>
      <c r="C25" s="35">
        <v>1</v>
      </c>
      <c r="D25" s="37">
        <v>4</v>
      </c>
      <c r="E25" s="21">
        <v>3</v>
      </c>
      <c r="F25" s="28">
        <f t="shared" si="0"/>
        <v>30</v>
      </c>
      <c r="G25" s="23">
        <v>1</v>
      </c>
      <c r="H25" s="23">
        <v>2</v>
      </c>
      <c r="I25" s="23"/>
      <c r="J25" s="23"/>
      <c r="K25" s="24">
        <f t="shared" si="1"/>
        <v>35</v>
      </c>
      <c r="L25" s="22">
        <f t="shared" si="2"/>
        <v>35</v>
      </c>
      <c r="M25" s="35">
        <v>1</v>
      </c>
      <c r="N25" s="27"/>
      <c r="O25" s="23"/>
      <c r="P25" s="28">
        <f t="shared" si="3"/>
        <v>37</v>
      </c>
      <c r="Q25" s="37">
        <v>4</v>
      </c>
      <c r="R25" s="36">
        <v>1</v>
      </c>
      <c r="S25" s="21">
        <v>3</v>
      </c>
      <c r="T25" s="38">
        <f t="shared" si="4"/>
        <v>30</v>
      </c>
      <c r="U25" s="23"/>
      <c r="V25" s="23"/>
      <c r="W25" s="23"/>
      <c r="X25" s="22">
        <f t="shared" si="5"/>
        <v>38</v>
      </c>
      <c r="Y25" s="39">
        <v>3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customFormat="1" ht="14.25" customHeight="1" spans="1:40">
      <c r="A26" s="18" t="s">
        <v>43</v>
      </c>
      <c r="B26" s="23">
        <v>38</v>
      </c>
      <c r="C26" s="35"/>
      <c r="D26" s="35">
        <v>3</v>
      </c>
      <c r="E26" s="21">
        <v>4</v>
      </c>
      <c r="F26" s="22">
        <f t="shared" si="0"/>
        <v>31</v>
      </c>
      <c r="G26" s="23"/>
      <c r="H26" s="23"/>
      <c r="I26" s="23">
        <v>9</v>
      </c>
      <c r="J26" s="23">
        <v>2</v>
      </c>
      <c r="K26" s="24">
        <f t="shared" si="1"/>
        <v>29</v>
      </c>
      <c r="L26" s="22">
        <f t="shared" si="2"/>
        <v>36</v>
      </c>
      <c r="M26" s="35"/>
      <c r="N26" s="27"/>
      <c r="O26" s="23">
        <v>5</v>
      </c>
      <c r="P26" s="28">
        <f t="shared" si="3"/>
        <v>33</v>
      </c>
      <c r="Q26" s="35">
        <v>3</v>
      </c>
      <c r="R26" s="40">
        <v>0</v>
      </c>
      <c r="S26" s="21">
        <v>4</v>
      </c>
      <c r="T26" s="22">
        <f t="shared" si="4"/>
        <v>31</v>
      </c>
      <c r="U26" s="23"/>
      <c r="V26" s="23">
        <v>1</v>
      </c>
      <c r="W26" s="23">
        <v>1</v>
      </c>
      <c r="X26" s="22">
        <f t="shared" si="5"/>
        <v>36</v>
      </c>
      <c r="Y26" s="2">
        <v>1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customFormat="1" ht="14.25" customHeight="1" spans="1:40">
      <c r="A27" s="18" t="s">
        <v>46</v>
      </c>
      <c r="B27" s="23">
        <v>43</v>
      </c>
      <c r="C27" s="35">
        <v>2</v>
      </c>
      <c r="D27" s="35">
        <v>1</v>
      </c>
      <c r="E27" s="21">
        <v>4</v>
      </c>
      <c r="F27" s="28">
        <f t="shared" si="0"/>
        <v>36</v>
      </c>
      <c r="G27" s="23">
        <v>2</v>
      </c>
      <c r="H27" s="23">
        <v>2</v>
      </c>
      <c r="I27" s="23">
        <v>3</v>
      </c>
      <c r="J27" s="23">
        <v>1</v>
      </c>
      <c r="K27" s="24">
        <f t="shared" si="1"/>
        <v>36</v>
      </c>
      <c r="L27" s="22">
        <f t="shared" si="2"/>
        <v>38</v>
      </c>
      <c r="M27" s="35">
        <v>2</v>
      </c>
      <c r="N27" s="30"/>
      <c r="O27" s="18">
        <v>3</v>
      </c>
      <c r="P27" s="28">
        <f t="shared" si="3"/>
        <v>38</v>
      </c>
      <c r="Q27" s="35">
        <v>1</v>
      </c>
      <c r="R27" s="41">
        <v>4</v>
      </c>
      <c r="S27" s="21">
        <v>3</v>
      </c>
      <c r="T27" s="28">
        <f t="shared" si="4"/>
        <v>35</v>
      </c>
      <c r="U27" s="23">
        <v>1</v>
      </c>
      <c r="V27" s="23">
        <v>2</v>
      </c>
      <c r="W27" s="23"/>
      <c r="X27" s="22">
        <f t="shared" si="5"/>
        <v>40</v>
      </c>
      <c r="Y27" s="26">
        <v>1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customFormat="1" customHeight="1" spans="1:40">
      <c r="A28" s="18" t="s">
        <v>48</v>
      </c>
      <c r="B28" s="19">
        <v>43</v>
      </c>
      <c r="C28" s="35"/>
      <c r="D28" s="35"/>
      <c r="E28" s="21"/>
      <c r="F28" s="22">
        <f t="shared" si="0"/>
        <v>43</v>
      </c>
      <c r="G28" s="23"/>
      <c r="H28" s="23">
        <v>1</v>
      </c>
      <c r="I28" s="23">
        <v>1</v>
      </c>
      <c r="J28" s="23">
        <v>3</v>
      </c>
      <c r="K28" s="24">
        <f t="shared" si="1"/>
        <v>41</v>
      </c>
      <c r="L28" s="22">
        <f t="shared" si="2"/>
        <v>39</v>
      </c>
      <c r="M28" s="35"/>
      <c r="N28" s="30"/>
      <c r="O28" s="18">
        <v>1</v>
      </c>
      <c r="P28" s="22">
        <f t="shared" si="3"/>
        <v>42</v>
      </c>
      <c r="Q28" s="35"/>
      <c r="R28" s="41">
        <v>4</v>
      </c>
      <c r="S28" s="21"/>
      <c r="T28" s="28">
        <f t="shared" si="4"/>
        <v>39</v>
      </c>
      <c r="U28" s="23"/>
      <c r="V28" s="23">
        <v>2</v>
      </c>
      <c r="W28" s="23">
        <v>1</v>
      </c>
      <c r="X28" s="22">
        <f t="shared" si="5"/>
        <v>40</v>
      </c>
      <c r="Y28" s="39" t="s">
        <v>49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customFormat="1" ht="14.25" customHeight="1" spans="1:40">
      <c r="A29" s="18" t="s">
        <v>55</v>
      </c>
      <c r="B29" s="18">
        <f>SUM(B3:B28)</f>
        <v>1048</v>
      </c>
      <c r="C29" s="18">
        <f t="shared" ref="C29:X29" si="6">SUM(C3:C28)</f>
        <v>40</v>
      </c>
      <c r="D29" s="18">
        <f t="shared" si="6"/>
        <v>21</v>
      </c>
      <c r="E29" s="18">
        <f t="shared" si="6"/>
        <v>37</v>
      </c>
      <c r="F29" s="18">
        <f t="shared" si="6"/>
        <v>950</v>
      </c>
      <c r="G29" s="18">
        <f t="shared" si="6"/>
        <v>23</v>
      </c>
      <c r="H29" s="18">
        <f t="shared" si="6"/>
        <v>15</v>
      </c>
      <c r="I29" s="18">
        <f t="shared" si="6"/>
        <v>34</v>
      </c>
      <c r="J29" s="18">
        <f t="shared" si="6"/>
        <v>12</v>
      </c>
      <c r="K29" s="18">
        <f t="shared" si="6"/>
        <v>976</v>
      </c>
      <c r="L29" s="18">
        <f t="shared" si="6"/>
        <v>998</v>
      </c>
      <c r="M29" s="18">
        <f t="shared" si="6"/>
        <v>41</v>
      </c>
      <c r="N29" s="18">
        <f t="shared" si="6"/>
        <v>32</v>
      </c>
      <c r="O29" s="18">
        <f t="shared" si="6"/>
        <v>17</v>
      </c>
      <c r="P29" s="18">
        <f t="shared" si="6"/>
        <v>958</v>
      </c>
      <c r="Q29" s="18">
        <f t="shared" si="6"/>
        <v>21</v>
      </c>
      <c r="R29" s="18">
        <f t="shared" si="6"/>
        <v>43</v>
      </c>
      <c r="S29" s="18">
        <f t="shared" si="6"/>
        <v>36</v>
      </c>
      <c r="T29" s="18">
        <f t="shared" si="6"/>
        <v>948</v>
      </c>
      <c r="U29" s="18">
        <f t="shared" si="6"/>
        <v>12</v>
      </c>
      <c r="V29" s="18">
        <f t="shared" si="6"/>
        <v>13</v>
      </c>
      <c r="W29" s="18">
        <f t="shared" si="6"/>
        <v>14</v>
      </c>
      <c r="X29" s="18">
        <f t="shared" si="6"/>
        <v>1009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customFormat="1" customHeight="1" spans="1:40">
      <c r="A30" s="4"/>
      <c r="B30" s="4"/>
      <c r="C30" s="45">
        <f>C29+D29+E29+F29</f>
        <v>1048</v>
      </c>
      <c r="D30" s="45"/>
      <c r="E30" s="45"/>
      <c r="F30" s="46"/>
      <c r="G30" s="47">
        <f>G29+H29+I29+K29</f>
        <v>1048</v>
      </c>
      <c r="H30" s="47"/>
      <c r="I30" s="47"/>
      <c r="J30" s="47"/>
      <c r="K30" s="47"/>
      <c r="L30" s="48"/>
      <c r="M30" s="49">
        <f>M29+N29+O29+P29</f>
        <v>1048</v>
      </c>
      <c r="N30" s="49"/>
      <c r="O30" s="49"/>
      <c r="P30" s="50"/>
      <c r="Q30" s="47">
        <f>Q29+R29+S29+T29</f>
        <v>1048</v>
      </c>
      <c r="R30" s="47"/>
      <c r="S30" s="47"/>
      <c r="T30" s="48"/>
      <c r="U30" s="47">
        <f>U29+V29+W29+X29</f>
        <v>1048</v>
      </c>
      <c r="V30" s="47"/>
      <c r="W30" s="47"/>
      <c r="X30" s="48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customFormat="1" customHeight="1" spans="1:40">
      <c r="A31" s="4"/>
      <c r="B31" s="4"/>
      <c r="C31" s="4"/>
      <c r="D31" s="4"/>
      <c r="E31" s="4"/>
      <c r="F31" s="5"/>
      <c r="G31" s="51">
        <f>G29+H29+J29+L29</f>
        <v>1048</v>
      </c>
      <c r="H31" s="51"/>
      <c r="I31" s="51"/>
      <c r="J31" s="51"/>
      <c r="K31" s="51"/>
      <c r="L31" s="51"/>
      <c r="M31" s="4"/>
      <c r="N31" s="4"/>
      <c r="O31" s="4"/>
      <c r="P31" s="5"/>
      <c r="Q31" s="4"/>
      <c r="R31" s="4"/>
      <c r="S31" s="4"/>
      <c r="T31" s="5"/>
      <c r="U31" s="4"/>
      <c r="V31" s="4"/>
      <c r="W31" s="4"/>
      <c r="X31" s="5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</sheetData>
  <mergeCells count="13">
    <mergeCell ref="C1:F1"/>
    <mergeCell ref="G1:L1"/>
    <mergeCell ref="M1:P1"/>
    <mergeCell ref="Q1:T1"/>
    <mergeCell ref="U1:X1"/>
    <mergeCell ref="C30:F30"/>
    <mergeCell ref="G30:L30"/>
    <mergeCell ref="M30:P30"/>
    <mergeCell ref="Q30:T30"/>
    <mergeCell ref="U30:X30"/>
    <mergeCell ref="G31:L31"/>
    <mergeCell ref="A1:A2"/>
    <mergeCell ref="B1:B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1"/>
  <sheetViews>
    <sheetView workbookViewId="0">
      <selection activeCell="R17" sqref="R17"/>
    </sheetView>
  </sheetViews>
  <sheetFormatPr defaultColWidth="9" defaultRowHeight="13.5" customHeight="1"/>
  <cols>
    <col min="1" max="1" width="9" style="4"/>
    <col min="2" max="2" width="15.1666666666667" style="4" customWidth="1"/>
    <col min="3" max="4" width="9" style="4" hidden="1" customWidth="1"/>
    <col min="5" max="5" width="8.16666666666667" style="4" hidden="1" customWidth="1"/>
    <col min="6" max="6" width="9.5" style="5" hidden="1" customWidth="1"/>
    <col min="7" max="11" width="9" style="4" hidden="1" customWidth="1"/>
    <col min="12" max="12" width="9" style="5" hidden="1" customWidth="1"/>
    <col min="13" max="15" width="9" style="4" hidden="1" customWidth="1"/>
    <col min="16" max="16" width="9" style="5" customWidth="1"/>
    <col min="17" max="19" width="9" style="4"/>
    <col min="20" max="20" width="9" style="5"/>
    <col min="21" max="23" width="9" style="4"/>
    <col min="24" max="24" width="9" style="5"/>
    <col min="25" max="40" width="9" style="4"/>
  </cols>
  <sheetData>
    <row r="1" s="1" customFormat="1" ht="24" customHeight="1" spans="1:40">
      <c r="A1" s="6" t="s">
        <v>0</v>
      </c>
      <c r="B1" s="6" t="s">
        <v>1</v>
      </c>
      <c r="C1" s="7" t="s">
        <v>2</v>
      </c>
      <c r="D1" s="7"/>
      <c r="E1" s="7"/>
      <c r="F1" s="8"/>
      <c r="G1" s="9" t="s">
        <v>3</v>
      </c>
      <c r="H1" s="10"/>
      <c r="I1" s="10"/>
      <c r="J1" s="10"/>
      <c r="K1" s="10"/>
      <c r="L1" s="11"/>
      <c r="M1" s="7" t="s">
        <v>4</v>
      </c>
      <c r="N1" s="7"/>
      <c r="O1" s="7"/>
      <c r="P1" s="8"/>
      <c r="Q1" s="9" t="s">
        <v>5</v>
      </c>
      <c r="R1" s="10"/>
      <c r="S1" s="10"/>
      <c r="T1" s="11"/>
      <c r="U1" s="12" t="s">
        <v>6</v>
      </c>
      <c r="V1" s="13"/>
      <c r="W1" s="13"/>
      <c r="X1" s="14"/>
    </row>
    <row r="2" s="2" customFormat="1" ht="54" customHeight="1" spans="1:40">
      <c r="A2" s="15"/>
      <c r="B2" s="15"/>
      <c r="C2" s="15" t="s">
        <v>7</v>
      </c>
      <c r="D2" s="15" t="s">
        <v>8</v>
      </c>
      <c r="E2" s="15" t="s">
        <v>9</v>
      </c>
      <c r="F2" s="16" t="s">
        <v>10</v>
      </c>
      <c r="G2" s="15" t="s">
        <v>11</v>
      </c>
      <c r="H2" s="15" t="s">
        <v>12</v>
      </c>
      <c r="I2" s="15" t="s">
        <v>13</v>
      </c>
      <c r="J2" s="15" t="s">
        <v>14</v>
      </c>
      <c r="K2" s="17" t="s">
        <v>15</v>
      </c>
      <c r="L2" s="16" t="s">
        <v>16</v>
      </c>
      <c r="M2" s="15" t="s">
        <v>7</v>
      </c>
      <c r="N2" s="15" t="s">
        <v>17</v>
      </c>
      <c r="O2" s="15" t="s">
        <v>18</v>
      </c>
      <c r="P2" s="16" t="s">
        <v>10</v>
      </c>
      <c r="Q2" s="15" t="s">
        <v>8</v>
      </c>
      <c r="R2" s="15" t="s">
        <v>19</v>
      </c>
      <c r="S2" s="15" t="s">
        <v>9</v>
      </c>
      <c r="T2" s="16" t="s">
        <v>10</v>
      </c>
      <c r="U2" s="15" t="s">
        <v>20</v>
      </c>
      <c r="V2" s="15" t="s">
        <v>21</v>
      </c>
      <c r="W2" s="15" t="s">
        <v>22</v>
      </c>
      <c r="X2" s="16" t="s">
        <v>10</v>
      </c>
    </row>
    <row r="3" customFormat="1" customHeight="1" spans="1:40">
      <c r="A3" s="18" t="s">
        <v>24</v>
      </c>
      <c r="B3" s="19">
        <v>39</v>
      </c>
      <c r="C3" s="35"/>
      <c r="D3" s="35"/>
      <c r="E3" s="21"/>
      <c r="F3" s="22">
        <f t="shared" ref="F3:F13" si="0">B3-C3-D3-E3</f>
        <v>39</v>
      </c>
      <c r="G3" s="23"/>
      <c r="H3" s="23"/>
      <c r="I3" s="23"/>
      <c r="J3" s="23"/>
      <c r="K3" s="24">
        <f t="shared" ref="K3:K13" si="1">B3-G3-H3-I3</f>
        <v>39</v>
      </c>
      <c r="L3" s="22">
        <f t="shared" ref="L3:L13" si="2">B3-G3-H3-J3</f>
        <v>39</v>
      </c>
      <c r="M3" s="35"/>
      <c r="N3" s="25"/>
      <c r="O3" s="23"/>
      <c r="P3" s="22">
        <f t="shared" ref="P3:P13" si="3">B3-M3-N3-O3</f>
        <v>39</v>
      </c>
      <c r="Q3" s="35"/>
      <c r="R3" s="52"/>
      <c r="S3" s="21"/>
      <c r="T3" s="22">
        <f t="shared" ref="T3:T13" si="4">B3-Q3-R3-S3</f>
        <v>39</v>
      </c>
      <c r="U3" s="23"/>
      <c r="V3" s="23"/>
      <c r="W3" s="23">
        <v>3</v>
      </c>
      <c r="X3" s="22">
        <f t="shared" ref="X3:X13" si="5">B3-U3-V3-W3</f>
        <v>36</v>
      </c>
      <c r="Y3" s="26">
        <v>3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1" customHeight="1" spans="1:40">
      <c r="A4" s="18" t="s">
        <v>26</v>
      </c>
      <c r="B4" s="23">
        <v>42</v>
      </c>
      <c r="C4" s="35"/>
      <c r="D4" s="35"/>
      <c r="E4" s="21"/>
      <c r="F4" s="22">
        <f t="shared" si="0"/>
        <v>42</v>
      </c>
      <c r="G4" s="23">
        <v>1</v>
      </c>
      <c r="H4" s="23"/>
      <c r="I4" s="23"/>
      <c r="J4" s="23"/>
      <c r="K4" s="24">
        <f t="shared" si="1"/>
        <v>41</v>
      </c>
      <c r="L4" s="22">
        <f t="shared" si="2"/>
        <v>41</v>
      </c>
      <c r="M4" s="35"/>
      <c r="N4" s="27"/>
      <c r="O4" s="23"/>
      <c r="P4" s="22">
        <f t="shared" si="3"/>
        <v>42</v>
      </c>
      <c r="Q4" s="35"/>
      <c r="R4" s="52"/>
      <c r="S4" s="21"/>
      <c r="T4" s="22">
        <f t="shared" si="4"/>
        <v>42</v>
      </c>
      <c r="U4" s="23"/>
      <c r="V4" s="23"/>
      <c r="W4" s="23"/>
      <c r="X4" s="22">
        <f t="shared" si="5"/>
        <v>42</v>
      </c>
      <c r="Y4" s="2">
        <v>3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customFormat="1" customHeight="1" spans="1:40">
      <c r="A5" s="18" t="s">
        <v>28</v>
      </c>
      <c r="B5" s="23">
        <v>36</v>
      </c>
      <c r="C5" s="35"/>
      <c r="D5" s="35"/>
      <c r="E5" s="21"/>
      <c r="F5" s="22">
        <f t="shared" si="0"/>
        <v>36</v>
      </c>
      <c r="G5" s="23">
        <v>1</v>
      </c>
      <c r="H5" s="23"/>
      <c r="I5" s="23"/>
      <c r="J5" s="23"/>
      <c r="K5" s="24">
        <f t="shared" si="1"/>
        <v>35</v>
      </c>
      <c r="L5" s="22">
        <f t="shared" si="2"/>
        <v>35</v>
      </c>
      <c r="M5" s="35"/>
      <c r="N5" s="27"/>
      <c r="O5" s="23"/>
      <c r="P5" s="22">
        <f t="shared" si="3"/>
        <v>36</v>
      </c>
      <c r="Q5" s="35"/>
      <c r="R5" s="52"/>
      <c r="S5" s="21"/>
      <c r="T5" s="22">
        <f t="shared" si="4"/>
        <v>36</v>
      </c>
      <c r="U5" s="23"/>
      <c r="V5" s="23"/>
      <c r="W5" s="23"/>
      <c r="X5" s="22">
        <f t="shared" si="5"/>
        <v>36</v>
      </c>
      <c r="Y5" s="2">
        <v>2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customFormat="1" customHeight="1" spans="1:40">
      <c r="A6" s="18" t="s">
        <v>29</v>
      </c>
      <c r="B6" s="23">
        <v>41</v>
      </c>
      <c r="C6" s="35">
        <v>8</v>
      </c>
      <c r="D6" s="35"/>
      <c r="E6" s="21"/>
      <c r="F6" s="22">
        <f t="shared" si="0"/>
        <v>33</v>
      </c>
      <c r="G6" s="23"/>
      <c r="H6" s="23"/>
      <c r="I6" s="23"/>
      <c r="J6" s="23"/>
      <c r="K6" s="24">
        <f t="shared" si="1"/>
        <v>41</v>
      </c>
      <c r="L6" s="22">
        <f t="shared" si="2"/>
        <v>41</v>
      </c>
      <c r="M6" s="35">
        <v>8</v>
      </c>
      <c r="N6" s="27"/>
      <c r="O6" s="23"/>
      <c r="P6" s="22">
        <f t="shared" si="3"/>
        <v>33</v>
      </c>
      <c r="Q6" s="35"/>
      <c r="R6" s="53"/>
      <c r="S6" s="21"/>
      <c r="T6" s="22">
        <f t="shared" si="4"/>
        <v>41</v>
      </c>
      <c r="U6" s="23"/>
      <c r="V6" s="23">
        <v>2</v>
      </c>
      <c r="W6" s="23"/>
      <c r="X6" s="22">
        <f t="shared" si="5"/>
        <v>39</v>
      </c>
      <c r="Y6" s="2" t="s">
        <v>30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customFormat="1" ht="14.25" customHeight="1" spans="1:40">
      <c r="A7" s="18" t="s">
        <v>34</v>
      </c>
      <c r="B7" s="19">
        <v>38</v>
      </c>
      <c r="C7" s="35">
        <v>5</v>
      </c>
      <c r="D7" s="35"/>
      <c r="E7" s="29"/>
      <c r="F7" s="22">
        <f t="shared" si="0"/>
        <v>33</v>
      </c>
      <c r="G7" s="23">
        <v>1</v>
      </c>
      <c r="H7" s="23"/>
      <c r="I7" s="23"/>
      <c r="J7" s="23"/>
      <c r="K7" s="24">
        <f t="shared" si="1"/>
        <v>37</v>
      </c>
      <c r="L7" s="22">
        <f t="shared" si="2"/>
        <v>37</v>
      </c>
      <c r="M7" s="35">
        <v>5</v>
      </c>
      <c r="N7" s="25">
        <v>5</v>
      </c>
      <c r="O7" s="23"/>
      <c r="P7" s="22">
        <f t="shared" si="3"/>
        <v>28</v>
      </c>
      <c r="Q7" s="35"/>
      <c r="R7" s="41"/>
      <c r="S7" s="29"/>
      <c r="T7" s="22">
        <f t="shared" si="4"/>
        <v>38</v>
      </c>
      <c r="U7" s="23"/>
      <c r="V7" s="23"/>
      <c r="W7" s="23"/>
      <c r="X7" s="22">
        <f t="shared" si="5"/>
        <v>38</v>
      </c>
      <c r="Y7" s="2">
        <v>3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customFormat="1" customHeight="1" spans="1:40">
      <c r="A8" s="18" t="s">
        <v>37</v>
      </c>
      <c r="B8" s="23">
        <v>44</v>
      </c>
      <c r="C8" s="35"/>
      <c r="D8" s="35">
        <v>1</v>
      </c>
      <c r="E8" s="21"/>
      <c r="F8" s="22">
        <f t="shared" si="0"/>
        <v>43</v>
      </c>
      <c r="G8" s="23">
        <v>2</v>
      </c>
      <c r="H8" s="23"/>
      <c r="I8" s="23"/>
      <c r="J8" s="23">
        <v>1</v>
      </c>
      <c r="K8" s="24">
        <f t="shared" si="1"/>
        <v>42</v>
      </c>
      <c r="L8" s="22">
        <f t="shared" si="2"/>
        <v>41</v>
      </c>
      <c r="M8" s="35"/>
      <c r="N8" s="27">
        <v>5</v>
      </c>
      <c r="O8" s="23"/>
      <c r="P8" s="22">
        <f t="shared" si="3"/>
        <v>39</v>
      </c>
      <c r="Q8" s="35">
        <v>1</v>
      </c>
      <c r="R8" s="36">
        <v>5</v>
      </c>
      <c r="S8" s="21"/>
      <c r="T8" s="22">
        <f t="shared" si="4"/>
        <v>38</v>
      </c>
      <c r="U8" s="23"/>
      <c r="V8" s="23"/>
      <c r="W8" s="23">
        <v>2</v>
      </c>
      <c r="X8" s="22">
        <f t="shared" si="5"/>
        <v>42</v>
      </c>
      <c r="Y8" s="2">
        <v>7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customFormat="1" ht="14.25" customHeight="1" spans="1:40">
      <c r="A9" s="18" t="s">
        <v>39</v>
      </c>
      <c r="B9" s="19">
        <v>43</v>
      </c>
      <c r="C9" s="35"/>
      <c r="D9" s="35">
        <v>2</v>
      </c>
      <c r="E9" s="21">
        <v>4</v>
      </c>
      <c r="F9" s="22">
        <f t="shared" si="0"/>
        <v>37</v>
      </c>
      <c r="G9" s="23">
        <v>3</v>
      </c>
      <c r="H9" s="23"/>
      <c r="I9" s="23"/>
      <c r="J9" s="23"/>
      <c r="K9" s="24">
        <f t="shared" si="1"/>
        <v>40</v>
      </c>
      <c r="L9" s="22">
        <f t="shared" si="2"/>
        <v>40</v>
      </c>
      <c r="M9" s="35">
        <v>1</v>
      </c>
      <c r="N9" s="25"/>
      <c r="O9" s="23"/>
      <c r="P9" s="22">
        <f t="shared" si="3"/>
        <v>42</v>
      </c>
      <c r="Q9" s="35">
        <v>2</v>
      </c>
      <c r="R9" s="36">
        <v>2</v>
      </c>
      <c r="S9" s="21">
        <v>4</v>
      </c>
      <c r="T9" s="22">
        <f t="shared" si="4"/>
        <v>35</v>
      </c>
      <c r="U9" s="23"/>
      <c r="V9" s="23"/>
      <c r="W9" s="23"/>
      <c r="X9" s="22">
        <f t="shared" si="5"/>
        <v>43</v>
      </c>
      <c r="Y9" s="2" t="s">
        <v>40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customFormat="1" ht="14.25" customHeight="1" spans="1:40">
      <c r="A10" s="18" t="s">
        <v>42</v>
      </c>
      <c r="B10" s="23">
        <v>38</v>
      </c>
      <c r="C10" s="35">
        <v>1</v>
      </c>
      <c r="D10" s="37">
        <v>4</v>
      </c>
      <c r="E10" s="21">
        <v>3</v>
      </c>
      <c r="F10" s="28">
        <f t="shared" si="0"/>
        <v>30</v>
      </c>
      <c r="G10" s="23">
        <v>1</v>
      </c>
      <c r="H10" s="23">
        <v>2</v>
      </c>
      <c r="I10" s="23"/>
      <c r="J10" s="23"/>
      <c r="K10" s="24">
        <f t="shared" si="1"/>
        <v>35</v>
      </c>
      <c r="L10" s="22">
        <f t="shared" si="2"/>
        <v>35</v>
      </c>
      <c r="M10" s="35">
        <v>1</v>
      </c>
      <c r="N10" s="27"/>
      <c r="O10" s="23"/>
      <c r="P10" s="28">
        <f t="shared" si="3"/>
        <v>37</v>
      </c>
      <c r="Q10" s="37">
        <v>4</v>
      </c>
      <c r="R10" s="36">
        <v>1</v>
      </c>
      <c r="S10" s="21">
        <v>3</v>
      </c>
      <c r="T10" s="38">
        <f t="shared" si="4"/>
        <v>30</v>
      </c>
      <c r="U10" s="23"/>
      <c r="V10" s="23"/>
      <c r="W10" s="23"/>
      <c r="X10" s="22">
        <f t="shared" si="5"/>
        <v>38</v>
      </c>
      <c r="Y10" s="39">
        <v>3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customFormat="1" ht="14.25" customHeight="1" spans="1:40">
      <c r="A11" s="18" t="s">
        <v>43</v>
      </c>
      <c r="B11" s="23">
        <v>38</v>
      </c>
      <c r="C11" s="35"/>
      <c r="D11" s="35">
        <v>3</v>
      </c>
      <c r="E11" s="21">
        <v>4</v>
      </c>
      <c r="F11" s="22">
        <f t="shared" si="0"/>
        <v>31</v>
      </c>
      <c r="G11" s="23"/>
      <c r="H11" s="23"/>
      <c r="I11" s="23">
        <v>9</v>
      </c>
      <c r="J11" s="23">
        <v>2</v>
      </c>
      <c r="K11" s="24">
        <f t="shared" si="1"/>
        <v>29</v>
      </c>
      <c r="L11" s="22">
        <f t="shared" si="2"/>
        <v>36</v>
      </c>
      <c r="M11" s="35"/>
      <c r="N11" s="27"/>
      <c r="O11" s="23">
        <v>5</v>
      </c>
      <c r="P11" s="28">
        <f t="shared" si="3"/>
        <v>33</v>
      </c>
      <c r="Q11" s="35">
        <v>3</v>
      </c>
      <c r="R11" s="40">
        <v>0</v>
      </c>
      <c r="S11" s="21">
        <v>4</v>
      </c>
      <c r="T11" s="22">
        <f t="shared" si="4"/>
        <v>31</v>
      </c>
      <c r="U11" s="23"/>
      <c r="V11" s="23">
        <v>1</v>
      </c>
      <c r="W11" s="23">
        <v>1</v>
      </c>
      <c r="X11" s="22">
        <f t="shared" si="5"/>
        <v>36</v>
      </c>
      <c r="Y11" s="2">
        <v>1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customFormat="1" ht="14.25" customHeight="1" spans="1:40">
      <c r="A12" s="18" t="s">
        <v>46</v>
      </c>
      <c r="B12" s="23">
        <v>43</v>
      </c>
      <c r="C12" s="35">
        <v>2</v>
      </c>
      <c r="D12" s="35">
        <v>1</v>
      </c>
      <c r="E12" s="21">
        <v>4</v>
      </c>
      <c r="F12" s="28">
        <f t="shared" si="0"/>
        <v>36</v>
      </c>
      <c r="G12" s="23">
        <v>2</v>
      </c>
      <c r="H12" s="23">
        <v>2</v>
      </c>
      <c r="I12" s="23">
        <v>3</v>
      </c>
      <c r="J12" s="23">
        <v>1</v>
      </c>
      <c r="K12" s="24">
        <f t="shared" si="1"/>
        <v>36</v>
      </c>
      <c r="L12" s="22">
        <f t="shared" si="2"/>
        <v>38</v>
      </c>
      <c r="M12" s="35">
        <v>2</v>
      </c>
      <c r="N12" s="30"/>
      <c r="O12" s="18">
        <v>3</v>
      </c>
      <c r="P12" s="28">
        <f t="shared" si="3"/>
        <v>38</v>
      </c>
      <c r="Q12" s="35">
        <v>1</v>
      </c>
      <c r="R12" s="41">
        <v>4</v>
      </c>
      <c r="S12" s="21">
        <v>3</v>
      </c>
      <c r="T12" s="28">
        <f t="shared" si="4"/>
        <v>35</v>
      </c>
      <c r="U12" s="23">
        <v>1</v>
      </c>
      <c r="V12" s="23">
        <v>2</v>
      </c>
      <c r="W12" s="23"/>
      <c r="X12" s="22">
        <f t="shared" si="5"/>
        <v>40</v>
      </c>
      <c r="Y12" s="26">
        <v>1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customFormat="1" customHeight="1" spans="1:40">
      <c r="A13" s="18" t="s">
        <v>48</v>
      </c>
      <c r="B13" s="19">
        <v>43</v>
      </c>
      <c r="C13" s="35"/>
      <c r="D13" s="35"/>
      <c r="E13" s="21"/>
      <c r="F13" s="22">
        <f t="shared" si="0"/>
        <v>43</v>
      </c>
      <c r="G13" s="23"/>
      <c r="H13" s="23">
        <v>1</v>
      </c>
      <c r="I13" s="23">
        <v>1</v>
      </c>
      <c r="J13" s="23">
        <v>3</v>
      </c>
      <c r="K13" s="24">
        <f t="shared" si="1"/>
        <v>41</v>
      </c>
      <c r="L13" s="22">
        <f t="shared" si="2"/>
        <v>39</v>
      </c>
      <c r="M13" s="35"/>
      <c r="N13" s="30"/>
      <c r="O13" s="18">
        <v>1</v>
      </c>
      <c r="P13" s="22">
        <f t="shared" si="3"/>
        <v>42</v>
      </c>
      <c r="Q13" s="35"/>
      <c r="R13" s="41">
        <v>4</v>
      </c>
      <c r="S13" s="21"/>
      <c r="T13" s="28">
        <f t="shared" si="4"/>
        <v>39</v>
      </c>
      <c r="U13" s="23"/>
      <c r="V13" s="23">
        <v>2</v>
      </c>
      <c r="W13" s="23">
        <v>1</v>
      </c>
      <c r="X13" s="22">
        <f t="shared" si="5"/>
        <v>40</v>
      </c>
      <c r="Y13" s="39" t="s">
        <v>49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customFormat="1" customHeight="1" spans="1:40">
      <c r="A14" s="18" t="s">
        <v>25</v>
      </c>
      <c r="B14" s="23">
        <v>37</v>
      </c>
      <c r="C14" s="35"/>
      <c r="D14" s="35"/>
      <c r="E14" s="21"/>
      <c r="F14" s="22">
        <f t="shared" ref="F14:F28" si="6">B14-C14-D14-E14</f>
        <v>37</v>
      </c>
      <c r="G14" s="23"/>
      <c r="H14" s="23"/>
      <c r="I14" s="23"/>
      <c r="J14" s="23"/>
      <c r="K14" s="24">
        <f t="shared" ref="K14:K28" si="7">B14-G14-H14-I14</f>
        <v>37</v>
      </c>
      <c r="L14" s="22">
        <f t="shared" ref="L14:L28" si="8">B14-G14-H14-J14</f>
        <v>37</v>
      </c>
      <c r="M14" s="35"/>
      <c r="N14" s="25"/>
      <c r="O14" s="23"/>
      <c r="P14" s="22">
        <f t="shared" ref="P14:P28" si="9">B14-M14-N14-O14</f>
        <v>37</v>
      </c>
      <c r="Q14" s="35"/>
      <c r="R14" s="52"/>
      <c r="S14" s="21"/>
      <c r="T14" s="22">
        <f t="shared" ref="T14:T28" si="10">B14-Q14-R14-S14</f>
        <v>37</v>
      </c>
      <c r="U14" s="23"/>
      <c r="V14" s="23"/>
      <c r="W14" s="23"/>
      <c r="X14" s="22">
        <f t="shared" ref="X14:X28" si="11">B14-U14-V14-W14</f>
        <v>37</v>
      </c>
      <c r="Y14" s="2">
        <v>3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customFormat="1" customHeight="1" spans="1:40">
      <c r="A15" s="18" t="s">
        <v>27</v>
      </c>
      <c r="B15" s="23">
        <v>37</v>
      </c>
      <c r="C15" s="35"/>
      <c r="D15" s="35"/>
      <c r="E15" s="21"/>
      <c r="F15" s="22">
        <f t="shared" si="6"/>
        <v>37</v>
      </c>
      <c r="G15" s="23"/>
      <c r="H15" s="23"/>
      <c r="I15" s="23"/>
      <c r="J15" s="23">
        <v>1</v>
      </c>
      <c r="K15" s="24">
        <f t="shared" si="7"/>
        <v>37</v>
      </c>
      <c r="L15" s="22">
        <f t="shared" si="8"/>
        <v>36</v>
      </c>
      <c r="M15" s="35"/>
      <c r="N15" s="27"/>
      <c r="O15" s="23"/>
      <c r="P15" s="22">
        <f t="shared" si="9"/>
        <v>37</v>
      </c>
      <c r="Q15" s="35"/>
      <c r="R15" s="52"/>
      <c r="S15" s="21"/>
      <c r="T15" s="22">
        <f t="shared" si="10"/>
        <v>37</v>
      </c>
      <c r="U15" s="23"/>
      <c r="V15" s="23"/>
      <c r="W15" s="23">
        <v>1</v>
      </c>
      <c r="X15" s="22">
        <f t="shared" si="11"/>
        <v>36</v>
      </c>
      <c r="Y15" s="2">
        <v>3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customFormat="1" ht="14.25" customHeight="1" spans="1:40">
      <c r="A16" s="18" t="s">
        <v>31</v>
      </c>
      <c r="B16" s="23">
        <v>41</v>
      </c>
      <c r="C16" s="35">
        <v>8</v>
      </c>
      <c r="D16" s="35"/>
      <c r="E16" s="21">
        <v>4</v>
      </c>
      <c r="F16" s="22">
        <f t="shared" si="6"/>
        <v>29</v>
      </c>
      <c r="G16" s="23"/>
      <c r="H16" s="23"/>
      <c r="I16" s="23"/>
      <c r="J16" s="23">
        <v>1</v>
      </c>
      <c r="K16" s="24">
        <f t="shared" si="7"/>
        <v>41</v>
      </c>
      <c r="L16" s="22">
        <f t="shared" si="8"/>
        <v>40</v>
      </c>
      <c r="M16" s="35">
        <v>8</v>
      </c>
      <c r="N16" s="27">
        <v>4</v>
      </c>
      <c r="O16" s="23"/>
      <c r="P16" s="22">
        <f t="shared" si="9"/>
        <v>29</v>
      </c>
      <c r="Q16" s="35"/>
      <c r="R16" s="20"/>
      <c r="S16" s="21">
        <v>4</v>
      </c>
      <c r="T16" s="28">
        <f t="shared" si="10"/>
        <v>37</v>
      </c>
      <c r="U16" s="23"/>
      <c r="V16" s="23"/>
      <c r="W16" s="23"/>
      <c r="X16" s="22">
        <f t="shared" si="11"/>
        <v>41</v>
      </c>
      <c r="Y16" s="2" t="s">
        <v>32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customFormat="1" ht="14.25" customHeight="1" spans="1:40">
      <c r="A17" s="18" t="s">
        <v>33</v>
      </c>
      <c r="B17" s="23">
        <v>44</v>
      </c>
      <c r="C17" s="35">
        <v>8</v>
      </c>
      <c r="D17" s="35"/>
      <c r="E17" s="21">
        <v>2</v>
      </c>
      <c r="F17" s="22">
        <f t="shared" si="6"/>
        <v>34</v>
      </c>
      <c r="G17" s="23">
        <v>4</v>
      </c>
      <c r="H17" s="23"/>
      <c r="I17" s="23"/>
      <c r="J17" s="23"/>
      <c r="K17" s="24">
        <f t="shared" si="7"/>
        <v>40</v>
      </c>
      <c r="L17" s="22">
        <f t="shared" si="8"/>
        <v>40</v>
      </c>
      <c r="M17" s="35">
        <v>8</v>
      </c>
      <c r="N17" s="27"/>
      <c r="O17" s="23"/>
      <c r="P17" s="22">
        <f t="shared" si="9"/>
        <v>36</v>
      </c>
      <c r="Q17" s="35"/>
      <c r="R17" s="41"/>
      <c r="S17" s="21">
        <v>2</v>
      </c>
      <c r="T17" s="22">
        <f t="shared" si="10"/>
        <v>42</v>
      </c>
      <c r="U17" s="23"/>
      <c r="V17" s="23"/>
      <c r="W17" s="23"/>
      <c r="X17" s="22">
        <f t="shared" si="11"/>
        <v>44</v>
      </c>
      <c r="Y17" s="2">
        <v>3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customFormat="1" ht="14.25" customHeight="1" spans="1:40">
      <c r="A18" s="18" t="s">
        <v>35</v>
      </c>
      <c r="B18" s="23">
        <v>38</v>
      </c>
      <c r="C18" s="35">
        <v>3</v>
      </c>
      <c r="D18" s="35"/>
      <c r="E18" s="21">
        <v>3</v>
      </c>
      <c r="F18" s="22">
        <f t="shared" si="6"/>
        <v>32</v>
      </c>
      <c r="G18" s="23"/>
      <c r="H18" s="23"/>
      <c r="I18" s="23"/>
      <c r="J18" s="23"/>
      <c r="K18" s="24">
        <f t="shared" si="7"/>
        <v>38</v>
      </c>
      <c r="L18" s="22">
        <f t="shared" si="8"/>
        <v>38</v>
      </c>
      <c r="M18" s="35">
        <v>3</v>
      </c>
      <c r="N18" s="27">
        <v>2</v>
      </c>
      <c r="O18" s="23"/>
      <c r="P18" s="22">
        <f t="shared" si="9"/>
        <v>33</v>
      </c>
      <c r="Q18" s="35"/>
      <c r="R18" s="41"/>
      <c r="S18" s="21">
        <v>3</v>
      </c>
      <c r="T18" s="28">
        <f t="shared" si="10"/>
        <v>35</v>
      </c>
      <c r="U18" s="23"/>
      <c r="V18" s="23"/>
      <c r="W18" s="23"/>
      <c r="X18" s="22">
        <f t="shared" si="11"/>
        <v>38</v>
      </c>
      <c r="Y18" s="2">
        <v>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customFormat="1" ht="14.25" customHeight="1" spans="1:40">
      <c r="A19" s="18" t="s">
        <v>36</v>
      </c>
      <c r="B19" s="23">
        <v>47</v>
      </c>
      <c r="C19" s="35">
        <v>1</v>
      </c>
      <c r="D19" s="35">
        <v>6</v>
      </c>
      <c r="E19" s="21">
        <v>4</v>
      </c>
      <c r="F19" s="22">
        <f t="shared" si="6"/>
        <v>36</v>
      </c>
      <c r="G19" s="23"/>
      <c r="H19" s="23"/>
      <c r="I19" s="23">
        <v>7</v>
      </c>
      <c r="J19" s="23"/>
      <c r="K19" s="24">
        <f t="shared" si="7"/>
        <v>40</v>
      </c>
      <c r="L19" s="22">
        <f t="shared" si="8"/>
        <v>47</v>
      </c>
      <c r="M19" s="35">
        <v>1</v>
      </c>
      <c r="N19" s="27"/>
      <c r="O19" s="23">
        <v>3</v>
      </c>
      <c r="P19" s="22">
        <f t="shared" si="9"/>
        <v>43</v>
      </c>
      <c r="Q19" s="35">
        <v>6</v>
      </c>
      <c r="R19" s="36">
        <v>4</v>
      </c>
      <c r="S19" s="21">
        <v>4</v>
      </c>
      <c r="T19" s="28">
        <f t="shared" si="10"/>
        <v>33</v>
      </c>
      <c r="U19" s="23"/>
      <c r="V19" s="23">
        <v>1</v>
      </c>
      <c r="W19" s="23">
        <v>1</v>
      </c>
      <c r="X19" s="22">
        <f t="shared" si="11"/>
        <v>45</v>
      </c>
      <c r="Y19" s="2">
        <v>6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customFormat="1" ht="14.25" customHeight="1" spans="1:40">
      <c r="A20" s="18" t="s">
        <v>38</v>
      </c>
      <c r="B20" s="23">
        <v>46</v>
      </c>
      <c r="C20" s="35"/>
      <c r="D20" s="35">
        <v>2</v>
      </c>
      <c r="E20" s="21">
        <v>3</v>
      </c>
      <c r="F20" s="22">
        <f t="shared" si="6"/>
        <v>41</v>
      </c>
      <c r="G20" s="23">
        <v>2</v>
      </c>
      <c r="H20" s="23"/>
      <c r="I20" s="23">
        <v>2</v>
      </c>
      <c r="J20" s="23"/>
      <c r="K20" s="24">
        <f t="shared" si="7"/>
        <v>42</v>
      </c>
      <c r="L20" s="22">
        <f t="shared" si="8"/>
        <v>44</v>
      </c>
      <c r="M20" s="35"/>
      <c r="N20" s="25">
        <v>2</v>
      </c>
      <c r="O20" s="23"/>
      <c r="P20" s="22">
        <f t="shared" si="9"/>
        <v>44</v>
      </c>
      <c r="Q20" s="35">
        <v>2</v>
      </c>
      <c r="R20" s="36">
        <v>2</v>
      </c>
      <c r="S20" s="21">
        <v>3</v>
      </c>
      <c r="T20" s="22">
        <f t="shared" si="10"/>
        <v>39</v>
      </c>
      <c r="U20" s="23"/>
      <c r="V20" s="23">
        <v>3</v>
      </c>
      <c r="W20" s="23">
        <v>1</v>
      </c>
      <c r="X20" s="22">
        <f t="shared" si="11"/>
        <v>42</v>
      </c>
      <c r="Y20" s="2">
        <v>2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customFormat="1" ht="14.25" customHeight="1" spans="1:40">
      <c r="A21" s="18" t="s">
        <v>41</v>
      </c>
      <c r="B21" s="23">
        <v>42</v>
      </c>
      <c r="C21" s="35"/>
      <c r="D21" s="35">
        <v>1</v>
      </c>
      <c r="E21" s="21">
        <v>3</v>
      </c>
      <c r="F21" s="22">
        <f t="shared" si="6"/>
        <v>38</v>
      </c>
      <c r="G21" s="23">
        <v>2</v>
      </c>
      <c r="H21" s="23">
        <v>1</v>
      </c>
      <c r="I21" s="23"/>
      <c r="J21" s="23"/>
      <c r="K21" s="24">
        <f t="shared" si="7"/>
        <v>39</v>
      </c>
      <c r="L21" s="22">
        <f t="shared" si="8"/>
        <v>39</v>
      </c>
      <c r="M21" s="35"/>
      <c r="N21" s="27">
        <v>7</v>
      </c>
      <c r="O21" s="23"/>
      <c r="P21" s="28">
        <f t="shared" si="9"/>
        <v>35</v>
      </c>
      <c r="Q21" s="35">
        <v>1</v>
      </c>
      <c r="R21" s="36">
        <v>4</v>
      </c>
      <c r="S21" s="21">
        <v>3</v>
      </c>
      <c r="T21" s="22">
        <f t="shared" si="10"/>
        <v>34</v>
      </c>
      <c r="U21" s="23"/>
      <c r="V21" s="23"/>
      <c r="W21" s="23"/>
      <c r="X21" s="22">
        <f t="shared" si="11"/>
        <v>42</v>
      </c>
      <c r="Y21" s="2">
        <v>7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customFormat="1" customHeight="1" spans="1:40">
      <c r="A22" s="18" t="s">
        <v>44</v>
      </c>
      <c r="B22" s="23">
        <v>41</v>
      </c>
      <c r="C22" s="35"/>
      <c r="D22" s="35"/>
      <c r="E22" s="21"/>
      <c r="F22" s="22">
        <f t="shared" si="6"/>
        <v>41</v>
      </c>
      <c r="G22" s="23">
        <v>2</v>
      </c>
      <c r="H22" s="23">
        <v>3</v>
      </c>
      <c r="I22" s="23">
        <v>9</v>
      </c>
      <c r="J22" s="23"/>
      <c r="K22" s="24">
        <f t="shared" si="7"/>
        <v>27</v>
      </c>
      <c r="L22" s="22">
        <f t="shared" si="8"/>
        <v>36</v>
      </c>
      <c r="M22" s="35"/>
      <c r="N22" s="27">
        <v>7</v>
      </c>
      <c r="O22" s="23">
        <v>4</v>
      </c>
      <c r="P22" s="22">
        <f t="shared" si="9"/>
        <v>30</v>
      </c>
      <c r="Q22" s="35"/>
      <c r="R22" s="41">
        <v>0</v>
      </c>
      <c r="S22" s="21"/>
      <c r="T22" s="22">
        <f t="shared" si="10"/>
        <v>41</v>
      </c>
      <c r="U22" s="23"/>
      <c r="V22" s="23"/>
      <c r="W22" s="23"/>
      <c r="X22" s="22">
        <f t="shared" si="11"/>
        <v>41</v>
      </c>
      <c r="Y22" s="2">
        <v>3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customFormat="1" customHeight="1" spans="1:40">
      <c r="A23" s="18" t="s">
        <v>45</v>
      </c>
      <c r="B23" s="23">
        <v>44</v>
      </c>
      <c r="C23" s="42">
        <v>4</v>
      </c>
      <c r="D23" s="37">
        <v>1</v>
      </c>
      <c r="E23" s="21"/>
      <c r="F23" s="28">
        <f t="shared" si="6"/>
        <v>39</v>
      </c>
      <c r="G23" s="23">
        <v>1</v>
      </c>
      <c r="H23" s="23"/>
      <c r="I23" s="23">
        <v>2</v>
      </c>
      <c r="J23" s="23">
        <v>1</v>
      </c>
      <c r="K23" s="24">
        <f t="shared" si="7"/>
        <v>41</v>
      </c>
      <c r="L23" s="22">
        <f t="shared" si="8"/>
        <v>42</v>
      </c>
      <c r="M23" s="42">
        <v>4</v>
      </c>
      <c r="N23" s="43"/>
      <c r="O23" s="18">
        <v>0</v>
      </c>
      <c r="P23" s="28">
        <f t="shared" si="9"/>
        <v>40</v>
      </c>
      <c r="Q23" s="37">
        <v>1</v>
      </c>
      <c r="R23" s="44">
        <v>10</v>
      </c>
      <c r="S23" s="21"/>
      <c r="T23" s="28">
        <f t="shared" si="10"/>
        <v>33</v>
      </c>
      <c r="U23" s="23"/>
      <c r="V23" s="23">
        <v>1</v>
      </c>
      <c r="W23" s="23">
        <v>3</v>
      </c>
      <c r="X23" s="22">
        <f t="shared" si="11"/>
        <v>40</v>
      </c>
      <c r="Y23" s="2">
        <v>3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customFormat="1" ht="14.25" customHeight="1" spans="1:40">
      <c r="A24" s="18" t="s">
        <v>47</v>
      </c>
      <c r="B24" s="23">
        <v>47</v>
      </c>
      <c r="C24" s="35"/>
      <c r="D24" s="35"/>
      <c r="E24" s="21">
        <v>3</v>
      </c>
      <c r="F24" s="22">
        <f t="shared" si="6"/>
        <v>44</v>
      </c>
      <c r="G24" s="23">
        <v>1</v>
      </c>
      <c r="H24" s="23"/>
      <c r="I24" s="23">
        <v>1</v>
      </c>
      <c r="J24" s="23"/>
      <c r="K24" s="24">
        <f t="shared" si="7"/>
        <v>45</v>
      </c>
      <c r="L24" s="22">
        <f t="shared" si="8"/>
        <v>46</v>
      </c>
      <c r="M24" s="35"/>
      <c r="N24" s="30"/>
      <c r="O24" s="18">
        <v>1</v>
      </c>
      <c r="P24" s="22">
        <f t="shared" si="9"/>
        <v>46</v>
      </c>
      <c r="Q24" s="35"/>
      <c r="R24" s="41">
        <v>7</v>
      </c>
      <c r="S24" s="21">
        <v>3</v>
      </c>
      <c r="T24" s="28">
        <f t="shared" si="10"/>
        <v>37</v>
      </c>
      <c r="U24" s="23"/>
      <c r="V24" s="23">
        <v>1</v>
      </c>
      <c r="W24" s="23">
        <v>1</v>
      </c>
      <c r="X24" s="22">
        <f t="shared" si="11"/>
        <v>45</v>
      </c>
      <c r="Y24" s="26">
        <v>3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customFormat="1" customHeight="1" spans="1:40">
      <c r="A25" s="18" t="s">
        <v>50</v>
      </c>
      <c r="B25" s="23">
        <v>36</v>
      </c>
      <c r="C25" s="35"/>
      <c r="D25" s="35"/>
      <c r="E25" s="21"/>
      <c r="F25" s="22">
        <f t="shared" si="6"/>
        <v>36</v>
      </c>
      <c r="G25" s="23"/>
      <c r="H25" s="23">
        <v>1</v>
      </c>
      <c r="I25" s="23"/>
      <c r="J25" s="23"/>
      <c r="K25" s="24">
        <f t="shared" si="7"/>
        <v>35</v>
      </c>
      <c r="L25" s="22">
        <f t="shared" si="8"/>
        <v>35</v>
      </c>
      <c r="M25" s="35"/>
      <c r="N25" s="30"/>
      <c r="O25" s="18"/>
      <c r="P25" s="22">
        <f t="shared" si="9"/>
        <v>36</v>
      </c>
      <c r="Q25" s="35"/>
      <c r="R25" s="41"/>
      <c r="S25" s="21"/>
      <c r="T25" s="22">
        <f t="shared" si="10"/>
        <v>36</v>
      </c>
      <c r="U25" s="23"/>
      <c r="V25" s="23"/>
      <c r="W25" s="23"/>
      <c r="X25" s="22">
        <f t="shared" si="11"/>
        <v>36</v>
      </c>
      <c r="Y25" s="26">
        <v>6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customFormat="1" customHeight="1" spans="1:40">
      <c r="A26" s="18" t="s">
        <v>51</v>
      </c>
      <c r="B26" s="23">
        <v>35</v>
      </c>
      <c r="C26" s="35"/>
      <c r="D26" s="35"/>
      <c r="E26" s="31"/>
      <c r="F26" s="22">
        <f t="shared" si="6"/>
        <v>35</v>
      </c>
      <c r="G26" s="23"/>
      <c r="H26" s="23">
        <v>4</v>
      </c>
      <c r="I26" s="23"/>
      <c r="J26" s="23"/>
      <c r="K26" s="24">
        <f t="shared" si="7"/>
        <v>31</v>
      </c>
      <c r="L26" s="22">
        <f t="shared" si="8"/>
        <v>31</v>
      </c>
      <c r="M26" s="35"/>
      <c r="N26" s="30"/>
      <c r="O26" s="18"/>
      <c r="P26" s="22">
        <f t="shared" si="9"/>
        <v>35</v>
      </c>
      <c r="Q26" s="35"/>
      <c r="R26" s="41"/>
      <c r="S26" s="31"/>
      <c r="T26" s="22">
        <f t="shared" si="10"/>
        <v>35</v>
      </c>
      <c r="U26" s="23">
        <v>6</v>
      </c>
      <c r="V26" s="23"/>
      <c r="W26" s="23"/>
      <c r="X26" s="22">
        <f t="shared" si="11"/>
        <v>29</v>
      </c>
      <c r="Y26" s="26">
        <v>2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customFormat="1" customHeight="1" spans="1:40">
      <c r="A27" s="18" t="s">
        <v>52</v>
      </c>
      <c r="B27" s="19">
        <v>33</v>
      </c>
      <c r="C27" s="35"/>
      <c r="D27" s="35"/>
      <c r="E27" s="31"/>
      <c r="F27" s="22">
        <f t="shared" si="6"/>
        <v>33</v>
      </c>
      <c r="G27" s="18"/>
      <c r="H27" s="18"/>
      <c r="I27" s="18"/>
      <c r="J27" s="18">
        <v>2</v>
      </c>
      <c r="K27" s="24">
        <f t="shared" si="7"/>
        <v>33</v>
      </c>
      <c r="L27" s="22">
        <f t="shared" si="8"/>
        <v>31</v>
      </c>
      <c r="M27" s="35"/>
      <c r="N27" s="30"/>
      <c r="O27" s="18"/>
      <c r="P27" s="22">
        <f t="shared" si="9"/>
        <v>33</v>
      </c>
      <c r="Q27" s="35"/>
      <c r="R27" s="41"/>
      <c r="S27" s="31"/>
      <c r="T27" s="22">
        <f t="shared" si="10"/>
        <v>33</v>
      </c>
      <c r="U27" s="23">
        <v>1</v>
      </c>
      <c r="V27" s="23"/>
      <c r="W27" s="23"/>
      <c r="X27" s="22">
        <f t="shared" si="11"/>
        <v>32</v>
      </c>
      <c r="Y27" s="2" t="s">
        <v>53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customFormat="1" customHeight="1" spans="1:40">
      <c r="A28" s="18" t="s">
        <v>54</v>
      </c>
      <c r="B28" s="23">
        <v>35</v>
      </c>
      <c r="C28" s="54"/>
      <c r="D28" s="54"/>
      <c r="E28" s="31"/>
      <c r="F28" s="22">
        <f t="shared" si="6"/>
        <v>35</v>
      </c>
      <c r="G28" s="18"/>
      <c r="H28" s="18">
        <v>1</v>
      </c>
      <c r="I28" s="18"/>
      <c r="J28" s="18">
        <v>0</v>
      </c>
      <c r="K28" s="24">
        <f t="shared" si="7"/>
        <v>34</v>
      </c>
      <c r="L28" s="22">
        <f t="shared" si="8"/>
        <v>34</v>
      </c>
      <c r="M28" s="54"/>
      <c r="N28" s="30"/>
      <c r="O28" s="18"/>
      <c r="P28" s="22">
        <f t="shared" si="9"/>
        <v>35</v>
      </c>
      <c r="Q28" s="54"/>
      <c r="R28" s="41"/>
      <c r="S28" s="31"/>
      <c r="T28" s="22">
        <f t="shared" si="10"/>
        <v>35</v>
      </c>
      <c r="U28" s="23">
        <v>4</v>
      </c>
      <c r="V28" s="23"/>
      <c r="W28" s="23"/>
      <c r="X28" s="22">
        <f t="shared" si="11"/>
        <v>31</v>
      </c>
      <c r="Y28" s="26">
        <v>5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customFormat="1" ht="14.25" customHeight="1" spans="1:40">
      <c r="A29" s="18" t="s">
        <v>55</v>
      </c>
      <c r="B29" s="18">
        <f>SUM(B3:B28)</f>
        <v>1048</v>
      </c>
      <c r="C29" s="18">
        <f t="shared" ref="C29:X29" si="12">SUM(C3:C28)</f>
        <v>40</v>
      </c>
      <c r="D29" s="18">
        <f t="shared" si="12"/>
        <v>21</v>
      </c>
      <c r="E29" s="18">
        <f t="shared" si="12"/>
        <v>37</v>
      </c>
      <c r="F29" s="18">
        <f t="shared" si="12"/>
        <v>950</v>
      </c>
      <c r="G29" s="18">
        <f t="shared" si="12"/>
        <v>23</v>
      </c>
      <c r="H29" s="18">
        <f t="shared" si="12"/>
        <v>15</v>
      </c>
      <c r="I29" s="18">
        <f t="shared" si="12"/>
        <v>34</v>
      </c>
      <c r="J29" s="18">
        <f t="shared" si="12"/>
        <v>12</v>
      </c>
      <c r="K29" s="18">
        <f t="shared" si="12"/>
        <v>976</v>
      </c>
      <c r="L29" s="18">
        <f t="shared" si="12"/>
        <v>998</v>
      </c>
      <c r="M29" s="18">
        <f t="shared" si="12"/>
        <v>41</v>
      </c>
      <c r="N29" s="18">
        <f t="shared" si="12"/>
        <v>32</v>
      </c>
      <c r="O29" s="18">
        <f t="shared" si="12"/>
        <v>17</v>
      </c>
      <c r="P29" s="18">
        <f t="shared" si="12"/>
        <v>958</v>
      </c>
      <c r="Q29" s="18">
        <f t="shared" si="12"/>
        <v>21</v>
      </c>
      <c r="R29" s="18">
        <f t="shared" si="12"/>
        <v>43</v>
      </c>
      <c r="S29" s="18">
        <f t="shared" si="12"/>
        <v>36</v>
      </c>
      <c r="T29" s="18">
        <f t="shared" si="12"/>
        <v>948</v>
      </c>
      <c r="U29" s="18">
        <f t="shared" si="12"/>
        <v>12</v>
      </c>
      <c r="V29" s="18">
        <f t="shared" si="12"/>
        <v>13</v>
      </c>
      <c r="W29" s="18">
        <f t="shared" si="12"/>
        <v>14</v>
      </c>
      <c r="X29" s="18">
        <f t="shared" si="12"/>
        <v>1009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customFormat="1" customHeight="1" spans="1:40">
      <c r="A30" s="4"/>
      <c r="B30" s="4"/>
      <c r="C30" s="45">
        <f>C29+D29+E29+F29</f>
        <v>1048</v>
      </c>
      <c r="D30" s="45"/>
      <c r="E30" s="45"/>
      <c r="F30" s="46"/>
      <c r="G30" s="47">
        <f>G29+H29+I29+K29</f>
        <v>1048</v>
      </c>
      <c r="H30" s="47"/>
      <c r="I30" s="47"/>
      <c r="J30" s="47"/>
      <c r="K30" s="47"/>
      <c r="L30" s="48"/>
      <c r="M30" s="49">
        <f>M29+N29+O29+P29</f>
        <v>1048</v>
      </c>
      <c r="N30" s="49"/>
      <c r="O30" s="49"/>
      <c r="P30" s="50"/>
      <c r="Q30" s="47">
        <f>Q29+R29+S29+T29</f>
        <v>1048</v>
      </c>
      <c r="R30" s="47"/>
      <c r="S30" s="47"/>
      <c r="T30" s="48"/>
      <c r="U30" s="47">
        <f>U29+V29+W29+X29</f>
        <v>1048</v>
      </c>
      <c r="V30" s="47"/>
      <c r="W30" s="47"/>
      <c r="X30" s="48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customFormat="1" customHeight="1" spans="1:40">
      <c r="A31" s="4"/>
      <c r="B31" s="4"/>
      <c r="C31" s="4"/>
      <c r="D31" s="4"/>
      <c r="E31" s="4"/>
      <c r="F31" s="5"/>
      <c r="G31" s="51">
        <f>G29+H29+J29+L29</f>
        <v>1048</v>
      </c>
      <c r="H31" s="51"/>
      <c r="I31" s="51"/>
      <c r="J31" s="51"/>
      <c r="K31" s="51"/>
      <c r="L31" s="51"/>
      <c r="M31" s="4"/>
      <c r="N31" s="4"/>
      <c r="O31" s="4"/>
      <c r="P31" s="5"/>
      <c r="Q31" s="4"/>
      <c r="R31" s="4"/>
      <c r="S31" s="4"/>
      <c r="T31" s="5"/>
      <c r="U31" s="4"/>
      <c r="V31" s="4"/>
      <c r="W31" s="4"/>
      <c r="X31" s="5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</sheetData>
  <mergeCells count="13">
    <mergeCell ref="C1:F1"/>
    <mergeCell ref="G1:L1"/>
    <mergeCell ref="M1:P1"/>
    <mergeCell ref="Q1:T1"/>
    <mergeCell ref="U1:X1"/>
    <mergeCell ref="C30:F30"/>
    <mergeCell ref="G30:L30"/>
    <mergeCell ref="M30:P30"/>
    <mergeCell ref="Q30:T30"/>
    <mergeCell ref="U30:X30"/>
    <mergeCell ref="G31:L31"/>
    <mergeCell ref="A1:A2"/>
    <mergeCell ref="B1:B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2"/>
  <sheetViews>
    <sheetView zoomScale="80" zoomScaleNormal="80" workbookViewId="0">
      <pane xSplit="1" topLeftCell="B1" activePane="topRight" state="frozen"/>
      <selection/>
      <selection pane="topRight" activeCell="Z36" sqref="Z36"/>
    </sheetView>
  </sheetViews>
  <sheetFormatPr defaultColWidth="9" defaultRowHeight="13.5" customHeight="1"/>
  <cols>
    <col min="1" max="1" width="9" style="4"/>
    <col min="2" max="2" width="15.1666666666667" style="4" customWidth="1"/>
    <col min="3" max="4" width="9" style="4" customWidth="1"/>
    <col min="5" max="5" width="8.16666666666667" style="4" customWidth="1"/>
    <col min="6" max="6" width="9.5" style="5" customWidth="1"/>
    <col min="7" max="11" width="9" style="4" customWidth="1"/>
    <col min="12" max="12" width="9" style="5" customWidth="1"/>
    <col min="13" max="15" width="9" style="4" customWidth="1"/>
    <col min="16" max="16" width="9" style="5" customWidth="1"/>
    <col min="17" max="19" width="9" style="4" customWidth="1"/>
    <col min="20" max="20" width="9" style="5" customWidth="1"/>
    <col min="21" max="23" width="9" style="4"/>
    <col min="24" max="24" width="9" style="5"/>
    <col min="25" max="25" width="14.875" style="4" customWidth="1"/>
    <col min="26" max="40" width="9" style="4"/>
  </cols>
  <sheetData>
    <row r="1" s="1" customFormat="1" ht="24" customHeight="1" spans="1:40">
      <c r="A1" s="6" t="s">
        <v>0</v>
      </c>
      <c r="B1" s="6" t="s">
        <v>1</v>
      </c>
      <c r="C1" s="7" t="s">
        <v>2</v>
      </c>
      <c r="D1" s="7"/>
      <c r="E1" s="7"/>
      <c r="F1" s="8"/>
      <c r="G1" s="9" t="s">
        <v>3</v>
      </c>
      <c r="H1" s="10"/>
      <c r="I1" s="10"/>
      <c r="J1" s="10"/>
      <c r="K1" s="10"/>
      <c r="L1" s="11"/>
      <c r="M1" s="7" t="s">
        <v>4</v>
      </c>
      <c r="N1" s="7"/>
      <c r="O1" s="7"/>
      <c r="P1" s="8"/>
      <c r="Q1" s="9" t="s">
        <v>5</v>
      </c>
      <c r="R1" s="10"/>
      <c r="S1" s="10"/>
      <c r="T1" s="11"/>
      <c r="U1" s="12" t="s">
        <v>6</v>
      </c>
      <c r="V1" s="13"/>
      <c r="W1" s="13"/>
      <c r="X1" s="14"/>
    </row>
    <row r="2" s="2" customFormat="1" ht="54" customHeight="1" spans="1:40">
      <c r="A2" s="15"/>
      <c r="B2" s="15"/>
      <c r="C2" s="15" t="s">
        <v>7</v>
      </c>
      <c r="D2" s="15" t="s">
        <v>8</v>
      </c>
      <c r="E2" s="15" t="s">
        <v>9</v>
      </c>
      <c r="F2" s="16" t="s">
        <v>10</v>
      </c>
      <c r="G2" s="15" t="s">
        <v>11</v>
      </c>
      <c r="H2" s="15" t="s">
        <v>12</v>
      </c>
      <c r="I2" s="15" t="s">
        <v>13</v>
      </c>
      <c r="J2" s="15" t="s">
        <v>14</v>
      </c>
      <c r="K2" s="17" t="s">
        <v>15</v>
      </c>
      <c r="L2" s="16" t="s">
        <v>16</v>
      </c>
      <c r="M2" s="15" t="s">
        <v>7</v>
      </c>
      <c r="N2" s="15" t="s">
        <v>17</v>
      </c>
      <c r="O2" s="15" t="s">
        <v>18</v>
      </c>
      <c r="P2" s="16" t="s">
        <v>10</v>
      </c>
      <c r="Q2" s="15" t="s">
        <v>8</v>
      </c>
      <c r="R2" s="15" t="s">
        <v>19</v>
      </c>
      <c r="S2" s="15" t="s">
        <v>9</v>
      </c>
      <c r="T2" s="16" t="s">
        <v>10</v>
      </c>
      <c r="U2" s="15" t="s">
        <v>20</v>
      </c>
      <c r="V2" s="15" t="s">
        <v>21</v>
      </c>
      <c r="W2" s="15" t="s">
        <v>22</v>
      </c>
      <c r="X2" s="16" t="s">
        <v>10</v>
      </c>
    </row>
    <row r="3" customFormat="1" customHeight="1" spans="1:40">
      <c r="A3" s="18" t="s">
        <v>24</v>
      </c>
      <c r="B3" s="19">
        <v>39</v>
      </c>
      <c r="C3" s="20"/>
      <c r="D3" s="18"/>
      <c r="E3" s="21"/>
      <c r="F3" s="22">
        <f t="shared" ref="F3:F16" si="0">B3-C3-D3-E3</f>
        <v>39</v>
      </c>
      <c r="G3" s="23"/>
      <c r="H3" s="23"/>
      <c r="I3" s="23"/>
      <c r="J3" s="23"/>
      <c r="K3" s="24">
        <f t="shared" ref="K3:K16" si="1">B3-G3-H3-I3</f>
        <v>39</v>
      </c>
      <c r="L3" s="22">
        <f t="shared" ref="L3:L16" si="2">B3-G3-H3-J3</f>
        <v>39</v>
      </c>
      <c r="M3" s="23"/>
      <c r="N3" s="25"/>
      <c r="O3" s="23"/>
      <c r="P3" s="22">
        <f t="shared" ref="P3:P16" si="3">B3-M3-N3-O3</f>
        <v>39</v>
      </c>
      <c r="Q3" s="23"/>
      <c r="R3" s="23"/>
      <c r="S3" s="21"/>
      <c r="T3" s="22">
        <f t="shared" ref="T3:T16" si="4">B3-Q3-R3-S3</f>
        <v>39</v>
      </c>
      <c r="U3" s="23"/>
      <c r="V3" s="23"/>
      <c r="W3" s="23">
        <v>3</v>
      </c>
      <c r="X3" s="22">
        <f t="shared" ref="X3:X16" si="5">B3-U3-V3-W3</f>
        <v>36</v>
      </c>
      <c r="Y3" s="26">
        <v>3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1" customHeight="1" spans="1:40">
      <c r="A4" s="18" t="s">
        <v>25</v>
      </c>
      <c r="B4" s="23">
        <v>37</v>
      </c>
      <c r="C4" s="20"/>
      <c r="D4" s="18"/>
      <c r="E4" s="21"/>
      <c r="F4" s="22">
        <f t="shared" si="0"/>
        <v>37</v>
      </c>
      <c r="G4" s="23"/>
      <c r="H4" s="23"/>
      <c r="I4" s="23"/>
      <c r="J4" s="23"/>
      <c r="K4" s="24">
        <f t="shared" si="1"/>
        <v>37</v>
      </c>
      <c r="L4" s="22">
        <f t="shared" si="2"/>
        <v>37</v>
      </c>
      <c r="M4" s="23"/>
      <c r="N4" s="25"/>
      <c r="O4" s="23"/>
      <c r="P4" s="22">
        <f t="shared" si="3"/>
        <v>37</v>
      </c>
      <c r="Q4" s="23"/>
      <c r="R4" s="23"/>
      <c r="S4" s="21"/>
      <c r="T4" s="22">
        <f t="shared" si="4"/>
        <v>37</v>
      </c>
      <c r="U4" s="23"/>
      <c r="V4" s="23"/>
      <c r="W4" s="23"/>
      <c r="X4" s="22">
        <f t="shared" si="5"/>
        <v>37</v>
      </c>
      <c r="Y4" s="2">
        <v>3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customFormat="1" customHeight="1" spans="1:40">
      <c r="A5" s="18" t="s">
        <v>26</v>
      </c>
      <c r="B5" s="23">
        <v>42</v>
      </c>
      <c r="C5" s="20"/>
      <c r="D5" s="18"/>
      <c r="E5" s="21"/>
      <c r="F5" s="22">
        <f t="shared" si="0"/>
        <v>42</v>
      </c>
      <c r="G5" s="23">
        <v>1</v>
      </c>
      <c r="H5" s="23"/>
      <c r="I5" s="23"/>
      <c r="J5" s="23"/>
      <c r="K5" s="24">
        <f t="shared" si="1"/>
        <v>41</v>
      </c>
      <c r="L5" s="22">
        <f t="shared" si="2"/>
        <v>41</v>
      </c>
      <c r="M5" s="23"/>
      <c r="N5" s="27"/>
      <c r="O5" s="23"/>
      <c r="P5" s="22">
        <f t="shared" si="3"/>
        <v>42</v>
      </c>
      <c r="Q5" s="23"/>
      <c r="R5" s="23"/>
      <c r="S5" s="21"/>
      <c r="T5" s="22">
        <f t="shared" si="4"/>
        <v>42</v>
      </c>
      <c r="U5" s="23"/>
      <c r="V5" s="23"/>
      <c r="W5" s="23"/>
      <c r="X5" s="22">
        <f t="shared" si="5"/>
        <v>42</v>
      </c>
      <c r="Y5" s="2">
        <v>3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customFormat="1" customHeight="1" spans="1:40">
      <c r="A6" s="18" t="s">
        <v>27</v>
      </c>
      <c r="B6" s="23">
        <v>37</v>
      </c>
      <c r="C6" s="20"/>
      <c r="D6" s="18"/>
      <c r="E6" s="21"/>
      <c r="F6" s="22">
        <f t="shared" si="0"/>
        <v>37</v>
      </c>
      <c r="G6" s="23"/>
      <c r="H6" s="23"/>
      <c r="I6" s="23"/>
      <c r="J6" s="23">
        <v>1</v>
      </c>
      <c r="K6" s="24">
        <f t="shared" si="1"/>
        <v>37</v>
      </c>
      <c r="L6" s="22">
        <f t="shared" si="2"/>
        <v>36</v>
      </c>
      <c r="M6" s="23"/>
      <c r="N6" s="27"/>
      <c r="O6" s="23"/>
      <c r="P6" s="22">
        <f t="shared" si="3"/>
        <v>37</v>
      </c>
      <c r="Q6" s="23"/>
      <c r="R6" s="23"/>
      <c r="S6" s="21"/>
      <c r="T6" s="22">
        <f t="shared" si="4"/>
        <v>37</v>
      </c>
      <c r="U6" s="23"/>
      <c r="V6" s="23"/>
      <c r="W6" s="23">
        <v>1</v>
      </c>
      <c r="X6" s="22">
        <f t="shared" si="5"/>
        <v>36</v>
      </c>
      <c r="Y6" s="2">
        <v>3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customFormat="1" customHeight="1" spans="1:40">
      <c r="A7" s="18" t="s">
        <v>28</v>
      </c>
      <c r="B7" s="23">
        <v>36</v>
      </c>
      <c r="C7" s="20"/>
      <c r="D7" s="18"/>
      <c r="E7" s="21"/>
      <c r="F7" s="22">
        <f t="shared" si="0"/>
        <v>36</v>
      </c>
      <c r="G7" s="23">
        <v>1</v>
      </c>
      <c r="H7" s="23"/>
      <c r="I7" s="23"/>
      <c r="J7" s="23"/>
      <c r="K7" s="24">
        <f t="shared" si="1"/>
        <v>35</v>
      </c>
      <c r="L7" s="22">
        <f t="shared" si="2"/>
        <v>35</v>
      </c>
      <c r="M7" s="23"/>
      <c r="N7" s="27"/>
      <c r="O7" s="23"/>
      <c r="P7" s="22">
        <f t="shared" si="3"/>
        <v>36</v>
      </c>
      <c r="Q7" s="23"/>
      <c r="R7" s="23"/>
      <c r="S7" s="21"/>
      <c r="T7" s="22">
        <f t="shared" si="4"/>
        <v>36</v>
      </c>
      <c r="U7" s="23"/>
      <c r="V7" s="23"/>
      <c r="W7" s="23"/>
      <c r="X7" s="22">
        <f t="shared" si="5"/>
        <v>36</v>
      </c>
      <c r="Y7" s="2">
        <v>2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customFormat="1" customHeight="1" spans="1:40">
      <c r="A8" s="18" t="s">
        <v>29</v>
      </c>
      <c r="B8" s="23">
        <v>41</v>
      </c>
      <c r="C8" s="20">
        <v>8</v>
      </c>
      <c r="D8" s="18"/>
      <c r="E8" s="21"/>
      <c r="F8" s="22">
        <f t="shared" si="0"/>
        <v>33</v>
      </c>
      <c r="G8" s="23"/>
      <c r="H8" s="23"/>
      <c r="I8" s="23"/>
      <c r="J8" s="23"/>
      <c r="K8" s="24">
        <f t="shared" si="1"/>
        <v>41</v>
      </c>
      <c r="L8" s="22">
        <f t="shared" si="2"/>
        <v>41</v>
      </c>
      <c r="M8" s="23">
        <v>8</v>
      </c>
      <c r="N8" s="27"/>
      <c r="O8" s="23"/>
      <c r="P8" s="22">
        <f t="shared" si="3"/>
        <v>33</v>
      </c>
      <c r="Q8" s="23"/>
      <c r="R8" s="23"/>
      <c r="S8" s="21"/>
      <c r="T8" s="22">
        <f t="shared" si="4"/>
        <v>41</v>
      </c>
      <c r="U8" s="23"/>
      <c r="V8" s="23">
        <v>2</v>
      </c>
      <c r="W8" s="23"/>
      <c r="X8" s="22">
        <f t="shared" si="5"/>
        <v>39</v>
      </c>
      <c r="Y8" s="2" t="s">
        <v>30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customFormat="1" ht="14.25" customHeight="1" spans="1:40">
      <c r="A9" s="18" t="s">
        <v>31</v>
      </c>
      <c r="B9" s="23">
        <v>41</v>
      </c>
      <c r="C9" s="20">
        <v>8</v>
      </c>
      <c r="D9" s="18"/>
      <c r="E9" s="21">
        <v>4</v>
      </c>
      <c r="F9" s="22">
        <f t="shared" si="0"/>
        <v>29</v>
      </c>
      <c r="G9" s="23"/>
      <c r="H9" s="23"/>
      <c r="I9" s="23"/>
      <c r="J9" s="23">
        <v>1</v>
      </c>
      <c r="K9" s="24">
        <f t="shared" si="1"/>
        <v>41</v>
      </c>
      <c r="L9" s="22">
        <f t="shared" si="2"/>
        <v>40</v>
      </c>
      <c r="M9" s="23">
        <v>8</v>
      </c>
      <c r="N9" s="27">
        <v>4</v>
      </c>
      <c r="O9" s="23"/>
      <c r="P9" s="22">
        <f t="shared" si="3"/>
        <v>29</v>
      </c>
      <c r="Q9" s="23"/>
      <c r="R9" s="23"/>
      <c r="S9" s="21">
        <v>4</v>
      </c>
      <c r="T9" s="28">
        <f t="shared" si="4"/>
        <v>37</v>
      </c>
      <c r="U9" s="23"/>
      <c r="V9" s="23"/>
      <c r="W9" s="23"/>
      <c r="X9" s="22">
        <f t="shared" si="5"/>
        <v>41</v>
      </c>
      <c r="Y9" s="2" t="s">
        <v>32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customFormat="1" ht="14.25" customHeight="1" spans="1:40">
      <c r="A10" s="18" t="s">
        <v>33</v>
      </c>
      <c r="B10" s="23">
        <v>44</v>
      </c>
      <c r="C10" s="20">
        <v>8</v>
      </c>
      <c r="D10" s="18"/>
      <c r="E10" s="21">
        <v>2</v>
      </c>
      <c r="F10" s="22">
        <f t="shared" si="0"/>
        <v>34</v>
      </c>
      <c r="G10" s="23">
        <v>4</v>
      </c>
      <c r="H10" s="23"/>
      <c r="I10" s="23"/>
      <c r="J10" s="23"/>
      <c r="K10" s="24">
        <f t="shared" si="1"/>
        <v>40</v>
      </c>
      <c r="L10" s="22">
        <f t="shared" si="2"/>
        <v>40</v>
      </c>
      <c r="M10" s="23">
        <v>8</v>
      </c>
      <c r="N10" s="27"/>
      <c r="O10" s="23"/>
      <c r="P10" s="22">
        <f t="shared" si="3"/>
        <v>36</v>
      </c>
      <c r="Q10" s="23"/>
      <c r="R10" s="23"/>
      <c r="S10" s="21">
        <v>2</v>
      </c>
      <c r="T10" s="22">
        <f t="shared" si="4"/>
        <v>42</v>
      </c>
      <c r="U10" s="23"/>
      <c r="V10" s="23"/>
      <c r="W10" s="23"/>
      <c r="X10" s="22">
        <f t="shared" si="5"/>
        <v>44</v>
      </c>
      <c r="Y10" s="2">
        <v>3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customFormat="1" ht="14.25" customHeight="1" spans="1:40">
      <c r="A11" s="18" t="s">
        <v>34</v>
      </c>
      <c r="B11" s="19">
        <v>38</v>
      </c>
      <c r="C11" s="20">
        <v>5</v>
      </c>
      <c r="D11" s="18"/>
      <c r="E11" s="29"/>
      <c r="F11" s="22">
        <f t="shared" si="0"/>
        <v>33</v>
      </c>
      <c r="G11" s="23">
        <v>1</v>
      </c>
      <c r="H11" s="23"/>
      <c r="I11" s="23"/>
      <c r="J11" s="23"/>
      <c r="K11" s="24">
        <f t="shared" si="1"/>
        <v>37</v>
      </c>
      <c r="L11" s="22">
        <f t="shared" si="2"/>
        <v>37</v>
      </c>
      <c r="M11" s="23">
        <v>5</v>
      </c>
      <c r="N11" s="25">
        <v>5</v>
      </c>
      <c r="O11" s="23"/>
      <c r="P11" s="22">
        <f t="shared" si="3"/>
        <v>28</v>
      </c>
      <c r="Q11" s="23"/>
      <c r="R11" s="23"/>
      <c r="S11" s="29"/>
      <c r="T11" s="22">
        <f t="shared" si="4"/>
        <v>38</v>
      </c>
      <c r="U11" s="23"/>
      <c r="V11" s="23"/>
      <c r="W11" s="23"/>
      <c r="X11" s="22">
        <f t="shared" si="5"/>
        <v>38</v>
      </c>
      <c r="Y11" s="2">
        <v>3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customFormat="1" ht="14.25" customHeight="1" spans="1:40">
      <c r="A12" s="18" t="s">
        <v>35</v>
      </c>
      <c r="B12" s="23">
        <v>38</v>
      </c>
      <c r="C12" s="20">
        <v>3</v>
      </c>
      <c r="D12" s="18"/>
      <c r="E12" s="21">
        <v>3</v>
      </c>
      <c r="F12" s="22">
        <f t="shared" si="0"/>
        <v>32</v>
      </c>
      <c r="G12" s="23"/>
      <c r="H12" s="23"/>
      <c r="I12" s="23"/>
      <c r="J12" s="23"/>
      <c r="K12" s="24">
        <f t="shared" si="1"/>
        <v>38</v>
      </c>
      <c r="L12" s="22">
        <f t="shared" si="2"/>
        <v>38</v>
      </c>
      <c r="M12" s="23">
        <v>3</v>
      </c>
      <c r="N12" s="27">
        <v>2</v>
      </c>
      <c r="O12" s="23"/>
      <c r="P12" s="22">
        <f t="shared" si="3"/>
        <v>33</v>
      </c>
      <c r="Q12" s="23"/>
      <c r="R12" s="23"/>
      <c r="S12" s="21">
        <v>3</v>
      </c>
      <c r="T12" s="28">
        <f t="shared" si="4"/>
        <v>35</v>
      </c>
      <c r="U12" s="23"/>
      <c r="V12" s="23"/>
      <c r="W12" s="23"/>
      <c r="X12" s="22">
        <f t="shared" si="5"/>
        <v>38</v>
      </c>
      <c r="Y12" s="2">
        <v>2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customFormat="1" customHeight="1" spans="1:40">
      <c r="A13" s="18" t="s">
        <v>50</v>
      </c>
      <c r="B13" s="23">
        <v>36</v>
      </c>
      <c r="C13" s="20"/>
      <c r="D13" s="18"/>
      <c r="E13" s="21"/>
      <c r="F13" s="22">
        <f t="shared" si="0"/>
        <v>36</v>
      </c>
      <c r="G13" s="23"/>
      <c r="H13" s="23">
        <v>1</v>
      </c>
      <c r="I13" s="23"/>
      <c r="J13" s="23"/>
      <c r="K13" s="24">
        <f t="shared" si="1"/>
        <v>35</v>
      </c>
      <c r="L13" s="22">
        <f t="shared" si="2"/>
        <v>35</v>
      </c>
      <c r="M13" s="18"/>
      <c r="N13" s="30"/>
      <c r="O13" s="18"/>
      <c r="P13" s="22">
        <f t="shared" si="3"/>
        <v>36</v>
      </c>
      <c r="Q13" s="23"/>
      <c r="R13" s="23"/>
      <c r="S13" s="21"/>
      <c r="T13" s="22">
        <f t="shared" si="4"/>
        <v>36</v>
      </c>
      <c r="U13" s="23"/>
      <c r="V13" s="23"/>
      <c r="W13" s="23"/>
      <c r="X13" s="22">
        <f t="shared" si="5"/>
        <v>36</v>
      </c>
      <c r="Y13" s="26">
        <v>6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customFormat="1" customHeight="1" spans="1:40">
      <c r="A14" s="18" t="s">
        <v>51</v>
      </c>
      <c r="B14" s="23">
        <v>35</v>
      </c>
      <c r="C14" s="20"/>
      <c r="D14" s="18"/>
      <c r="E14" s="31"/>
      <c r="F14" s="22">
        <f t="shared" si="0"/>
        <v>35</v>
      </c>
      <c r="G14" s="23"/>
      <c r="H14" s="23">
        <v>4</v>
      </c>
      <c r="I14" s="23"/>
      <c r="J14" s="23"/>
      <c r="K14" s="24">
        <f t="shared" si="1"/>
        <v>31</v>
      </c>
      <c r="L14" s="22">
        <f t="shared" si="2"/>
        <v>31</v>
      </c>
      <c r="M14" s="18"/>
      <c r="N14" s="30"/>
      <c r="O14" s="18"/>
      <c r="P14" s="22">
        <f t="shared" si="3"/>
        <v>35</v>
      </c>
      <c r="Q14" s="18"/>
      <c r="R14" s="18"/>
      <c r="S14" s="31"/>
      <c r="T14" s="22">
        <f t="shared" si="4"/>
        <v>35</v>
      </c>
      <c r="U14" s="23">
        <v>6</v>
      </c>
      <c r="V14" s="23"/>
      <c r="W14" s="23"/>
      <c r="X14" s="22">
        <f t="shared" si="5"/>
        <v>29</v>
      </c>
      <c r="Y14" s="26">
        <v>2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customFormat="1" customHeight="1" spans="1:40">
      <c r="A15" s="18" t="s">
        <v>52</v>
      </c>
      <c r="B15" s="19">
        <v>33</v>
      </c>
      <c r="C15" s="20"/>
      <c r="D15" s="18"/>
      <c r="E15" s="31"/>
      <c r="F15" s="22">
        <f t="shared" si="0"/>
        <v>33</v>
      </c>
      <c r="G15" s="18"/>
      <c r="H15" s="18"/>
      <c r="I15" s="18"/>
      <c r="J15" s="18">
        <v>2</v>
      </c>
      <c r="K15" s="24">
        <f t="shared" si="1"/>
        <v>33</v>
      </c>
      <c r="L15" s="22">
        <f t="shared" si="2"/>
        <v>31</v>
      </c>
      <c r="M15" s="18"/>
      <c r="N15" s="30"/>
      <c r="O15" s="18"/>
      <c r="P15" s="22">
        <f t="shared" si="3"/>
        <v>33</v>
      </c>
      <c r="Q15" s="18"/>
      <c r="R15" s="18"/>
      <c r="S15" s="31"/>
      <c r="T15" s="22">
        <f t="shared" si="4"/>
        <v>33</v>
      </c>
      <c r="U15" s="23">
        <v>1</v>
      </c>
      <c r="V15" s="23"/>
      <c r="W15" s="23"/>
      <c r="X15" s="22">
        <f t="shared" si="5"/>
        <v>32</v>
      </c>
      <c r="Y15" s="2" t="s">
        <v>53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customFormat="1" customHeight="1" spans="1:40">
      <c r="A16" s="18" t="s">
        <v>54</v>
      </c>
      <c r="B16" s="23">
        <v>35</v>
      </c>
      <c r="C16" s="20"/>
      <c r="D16" s="18"/>
      <c r="E16" s="31"/>
      <c r="F16" s="22">
        <f t="shared" si="0"/>
        <v>35</v>
      </c>
      <c r="G16" s="18"/>
      <c r="H16" s="18">
        <v>1</v>
      </c>
      <c r="I16" s="18"/>
      <c r="J16" s="18">
        <v>0</v>
      </c>
      <c r="K16" s="24">
        <f t="shared" si="1"/>
        <v>34</v>
      </c>
      <c r="L16" s="22">
        <f t="shared" si="2"/>
        <v>34</v>
      </c>
      <c r="M16" s="18"/>
      <c r="N16" s="30"/>
      <c r="O16" s="18"/>
      <c r="P16" s="22">
        <f t="shared" si="3"/>
        <v>35</v>
      </c>
      <c r="Q16" s="18"/>
      <c r="R16" s="18"/>
      <c r="S16" s="31"/>
      <c r="T16" s="22">
        <f t="shared" si="4"/>
        <v>35</v>
      </c>
      <c r="U16" s="23">
        <v>4</v>
      </c>
      <c r="V16" s="23"/>
      <c r="W16" s="23"/>
      <c r="X16" s="22">
        <f t="shared" si="5"/>
        <v>31</v>
      </c>
      <c r="Y16" s="26">
        <v>5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="3" customFormat="1" ht="53" customHeight="1" spans="1:40">
      <c r="A17" s="23"/>
      <c r="B17" s="23"/>
      <c r="C17" s="32"/>
      <c r="D17" s="23"/>
      <c r="E17" s="21"/>
      <c r="F17" s="33"/>
      <c r="G17" s="23"/>
      <c r="H17" s="23"/>
      <c r="I17" s="23"/>
      <c r="J17" s="23"/>
      <c r="K17" s="23"/>
      <c r="L17" s="33"/>
      <c r="M17" s="23"/>
      <c r="N17" s="25"/>
      <c r="O17" s="23"/>
      <c r="P17" s="33"/>
      <c r="Q17" s="23"/>
      <c r="R17" s="23"/>
      <c r="S17" s="21"/>
      <c r="T17" s="33"/>
      <c r="U17" s="23"/>
      <c r="V17" s="23"/>
      <c r="W17" s="23"/>
      <c r="X17" s="33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customFormat="1" ht="14.25" customHeight="1" spans="1:40">
      <c r="A18" s="18" t="s">
        <v>36</v>
      </c>
      <c r="B18" s="23">
        <v>47</v>
      </c>
      <c r="C18" s="35">
        <v>1</v>
      </c>
      <c r="D18" s="35">
        <v>6</v>
      </c>
      <c r="E18" s="21">
        <v>4</v>
      </c>
      <c r="F18" s="22">
        <f t="shared" ref="F18:F29" si="6">B18-C18-D18-E18</f>
        <v>36</v>
      </c>
      <c r="G18" s="23"/>
      <c r="H18" s="23"/>
      <c r="I18" s="23">
        <v>7</v>
      </c>
      <c r="J18" s="23"/>
      <c r="K18" s="24">
        <f t="shared" ref="K18:K29" si="7">B18-G18-H18-I18</f>
        <v>40</v>
      </c>
      <c r="L18" s="22">
        <f t="shared" ref="L18:L29" si="8">B18-G18-H18-J18</f>
        <v>47</v>
      </c>
      <c r="M18" s="35">
        <v>1</v>
      </c>
      <c r="N18" s="27"/>
      <c r="O18" s="23">
        <v>3</v>
      </c>
      <c r="P18" s="22">
        <f t="shared" ref="P18:P29" si="9">B18-M18-N18-O18</f>
        <v>43</v>
      </c>
      <c r="Q18" s="35">
        <v>6</v>
      </c>
      <c r="R18" s="36">
        <v>4</v>
      </c>
      <c r="S18" s="21">
        <v>4</v>
      </c>
      <c r="T18" s="28">
        <f t="shared" ref="T18:T29" si="10">B18-Q18-R18-S18</f>
        <v>33</v>
      </c>
      <c r="U18" s="23"/>
      <c r="V18" s="23">
        <v>1</v>
      </c>
      <c r="W18" s="23">
        <v>1</v>
      </c>
      <c r="X18" s="22">
        <f t="shared" ref="X18:X29" si="11">B18-U18-V18-W18</f>
        <v>45</v>
      </c>
      <c r="Y18" s="2">
        <v>6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customFormat="1" customHeight="1" spans="1:40">
      <c r="A19" s="18" t="s">
        <v>37</v>
      </c>
      <c r="B19" s="23">
        <v>44</v>
      </c>
      <c r="C19" s="35"/>
      <c r="D19" s="35">
        <v>1</v>
      </c>
      <c r="E19" s="21"/>
      <c r="F19" s="22">
        <f t="shared" si="6"/>
        <v>43</v>
      </c>
      <c r="G19" s="23">
        <v>2</v>
      </c>
      <c r="H19" s="23"/>
      <c r="I19" s="23"/>
      <c r="J19" s="23">
        <v>1</v>
      </c>
      <c r="K19" s="24">
        <f t="shared" si="7"/>
        <v>42</v>
      </c>
      <c r="L19" s="22">
        <f t="shared" si="8"/>
        <v>41</v>
      </c>
      <c r="M19" s="35"/>
      <c r="N19" s="27">
        <v>5</v>
      </c>
      <c r="O19" s="23"/>
      <c r="P19" s="22">
        <f t="shared" si="9"/>
        <v>39</v>
      </c>
      <c r="Q19" s="35">
        <v>1</v>
      </c>
      <c r="R19" s="36">
        <v>5</v>
      </c>
      <c r="S19" s="21"/>
      <c r="T19" s="22">
        <f t="shared" si="10"/>
        <v>38</v>
      </c>
      <c r="U19" s="23"/>
      <c r="V19" s="23"/>
      <c r="W19" s="23">
        <v>2</v>
      </c>
      <c r="X19" s="22">
        <f t="shared" si="11"/>
        <v>42</v>
      </c>
      <c r="Y19" s="2">
        <v>7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customFormat="1" ht="14.25" customHeight="1" spans="1:40">
      <c r="A20" s="18" t="s">
        <v>38</v>
      </c>
      <c r="B20" s="23">
        <v>46</v>
      </c>
      <c r="C20" s="35"/>
      <c r="D20" s="35">
        <v>2</v>
      </c>
      <c r="E20" s="21">
        <v>3</v>
      </c>
      <c r="F20" s="22">
        <f t="shared" si="6"/>
        <v>41</v>
      </c>
      <c r="G20" s="23">
        <v>2</v>
      </c>
      <c r="H20" s="23"/>
      <c r="I20" s="23">
        <v>2</v>
      </c>
      <c r="J20" s="23"/>
      <c r="K20" s="24">
        <f t="shared" si="7"/>
        <v>42</v>
      </c>
      <c r="L20" s="22">
        <f t="shared" si="8"/>
        <v>44</v>
      </c>
      <c r="M20" s="35"/>
      <c r="N20" s="25">
        <v>2</v>
      </c>
      <c r="O20" s="23"/>
      <c r="P20" s="22">
        <f t="shared" si="9"/>
        <v>44</v>
      </c>
      <c r="Q20" s="35">
        <v>2</v>
      </c>
      <c r="R20" s="36">
        <v>2</v>
      </c>
      <c r="S20" s="21">
        <v>3</v>
      </c>
      <c r="T20" s="22">
        <f t="shared" si="10"/>
        <v>39</v>
      </c>
      <c r="U20" s="23"/>
      <c r="V20" s="23">
        <v>3</v>
      </c>
      <c r="W20" s="23">
        <v>1</v>
      </c>
      <c r="X20" s="22">
        <f t="shared" si="11"/>
        <v>42</v>
      </c>
      <c r="Y20" s="2">
        <v>2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customFormat="1" ht="14.25" customHeight="1" spans="1:40">
      <c r="A21" s="18" t="s">
        <v>39</v>
      </c>
      <c r="B21" s="19">
        <v>43</v>
      </c>
      <c r="C21" s="35"/>
      <c r="D21" s="35">
        <v>2</v>
      </c>
      <c r="E21" s="21">
        <v>4</v>
      </c>
      <c r="F21" s="22">
        <f t="shared" si="6"/>
        <v>37</v>
      </c>
      <c r="G21" s="23">
        <v>3</v>
      </c>
      <c r="H21" s="23"/>
      <c r="I21" s="23"/>
      <c r="J21" s="23"/>
      <c r="K21" s="24">
        <f t="shared" si="7"/>
        <v>40</v>
      </c>
      <c r="L21" s="22">
        <f t="shared" si="8"/>
        <v>40</v>
      </c>
      <c r="M21" s="35">
        <v>1</v>
      </c>
      <c r="N21" s="25"/>
      <c r="O21" s="23"/>
      <c r="P21" s="22">
        <f t="shared" si="9"/>
        <v>42</v>
      </c>
      <c r="Q21" s="35">
        <v>2</v>
      </c>
      <c r="R21" s="36">
        <v>2</v>
      </c>
      <c r="S21" s="21">
        <v>4</v>
      </c>
      <c r="T21" s="22">
        <f t="shared" si="10"/>
        <v>35</v>
      </c>
      <c r="U21" s="23"/>
      <c r="V21" s="23"/>
      <c r="W21" s="23"/>
      <c r="X21" s="22">
        <f t="shared" si="11"/>
        <v>43</v>
      </c>
      <c r="Y21" s="2" t="s">
        <v>40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customFormat="1" ht="14.25" customHeight="1" spans="1:40">
      <c r="A22" s="18" t="s">
        <v>41</v>
      </c>
      <c r="B22" s="23">
        <v>42</v>
      </c>
      <c r="C22" s="35"/>
      <c r="D22" s="35">
        <v>1</v>
      </c>
      <c r="E22" s="21">
        <v>3</v>
      </c>
      <c r="F22" s="22">
        <f t="shared" si="6"/>
        <v>38</v>
      </c>
      <c r="G22" s="23">
        <v>2</v>
      </c>
      <c r="H22" s="23">
        <v>1</v>
      </c>
      <c r="I22" s="23"/>
      <c r="J22" s="23"/>
      <c r="K22" s="24">
        <f t="shared" si="7"/>
        <v>39</v>
      </c>
      <c r="L22" s="22">
        <f t="shared" si="8"/>
        <v>39</v>
      </c>
      <c r="M22" s="35"/>
      <c r="N22" s="27">
        <v>7</v>
      </c>
      <c r="O22" s="23"/>
      <c r="P22" s="28">
        <f t="shared" si="9"/>
        <v>35</v>
      </c>
      <c r="Q22" s="35">
        <v>1</v>
      </c>
      <c r="R22" s="36">
        <v>4</v>
      </c>
      <c r="S22" s="21">
        <v>3</v>
      </c>
      <c r="T22" s="22">
        <f t="shared" si="10"/>
        <v>34</v>
      </c>
      <c r="U22" s="23"/>
      <c r="V22" s="23"/>
      <c r="W22" s="23"/>
      <c r="X22" s="22">
        <f t="shared" si="11"/>
        <v>42</v>
      </c>
      <c r="Y22" s="2">
        <v>7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customFormat="1" ht="14.25" customHeight="1" spans="1:40">
      <c r="A23" s="18" t="s">
        <v>42</v>
      </c>
      <c r="B23" s="23">
        <v>38</v>
      </c>
      <c r="C23" s="35">
        <v>1</v>
      </c>
      <c r="D23" s="37">
        <v>4</v>
      </c>
      <c r="E23" s="21">
        <v>3</v>
      </c>
      <c r="F23" s="28">
        <f t="shared" si="6"/>
        <v>30</v>
      </c>
      <c r="G23" s="23">
        <v>1</v>
      </c>
      <c r="H23" s="23">
        <v>2</v>
      </c>
      <c r="I23" s="23"/>
      <c r="J23" s="23"/>
      <c r="K23" s="24">
        <f t="shared" si="7"/>
        <v>35</v>
      </c>
      <c r="L23" s="22">
        <f t="shared" si="8"/>
        <v>35</v>
      </c>
      <c r="M23" s="35">
        <v>1</v>
      </c>
      <c r="N23" s="27"/>
      <c r="O23" s="23"/>
      <c r="P23" s="28">
        <f t="shared" si="9"/>
        <v>37</v>
      </c>
      <c r="Q23" s="37">
        <v>4</v>
      </c>
      <c r="R23" s="36">
        <v>1</v>
      </c>
      <c r="S23" s="21">
        <v>3</v>
      </c>
      <c r="T23" s="38">
        <f t="shared" si="10"/>
        <v>30</v>
      </c>
      <c r="U23" s="23"/>
      <c r="V23" s="23"/>
      <c r="W23" s="23"/>
      <c r="X23" s="22">
        <f t="shared" si="11"/>
        <v>38</v>
      </c>
      <c r="Y23" s="39">
        <v>3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customFormat="1" ht="14.25" customHeight="1" spans="1:40">
      <c r="A24" s="18" t="s">
        <v>43</v>
      </c>
      <c r="B24" s="23">
        <v>38</v>
      </c>
      <c r="C24" s="35"/>
      <c r="D24" s="35">
        <v>3</v>
      </c>
      <c r="E24" s="21">
        <v>4</v>
      </c>
      <c r="F24" s="22">
        <f t="shared" si="6"/>
        <v>31</v>
      </c>
      <c r="G24" s="23"/>
      <c r="H24" s="23"/>
      <c r="I24" s="23">
        <v>9</v>
      </c>
      <c r="J24" s="23">
        <v>2</v>
      </c>
      <c r="K24" s="24">
        <f t="shared" si="7"/>
        <v>29</v>
      </c>
      <c r="L24" s="22">
        <f t="shared" si="8"/>
        <v>36</v>
      </c>
      <c r="M24" s="35"/>
      <c r="N24" s="27"/>
      <c r="O24" s="23">
        <v>5</v>
      </c>
      <c r="P24" s="28">
        <f t="shared" si="9"/>
        <v>33</v>
      </c>
      <c r="Q24" s="35">
        <v>3</v>
      </c>
      <c r="R24" s="40">
        <v>0</v>
      </c>
      <c r="S24" s="21">
        <v>4</v>
      </c>
      <c r="T24" s="22">
        <f t="shared" si="10"/>
        <v>31</v>
      </c>
      <c r="U24" s="23"/>
      <c r="V24" s="23">
        <v>1</v>
      </c>
      <c r="W24" s="23">
        <v>1</v>
      </c>
      <c r="X24" s="22">
        <f t="shared" si="11"/>
        <v>36</v>
      </c>
      <c r="Y24" s="2">
        <v>1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customFormat="1" customHeight="1" spans="1:40">
      <c r="A25" s="18" t="s">
        <v>44</v>
      </c>
      <c r="B25" s="23">
        <v>41</v>
      </c>
      <c r="C25" s="35"/>
      <c r="D25" s="35"/>
      <c r="E25" s="21"/>
      <c r="F25" s="22">
        <f t="shared" si="6"/>
        <v>41</v>
      </c>
      <c r="G25" s="23">
        <v>2</v>
      </c>
      <c r="H25" s="23">
        <v>3</v>
      </c>
      <c r="I25" s="23">
        <v>9</v>
      </c>
      <c r="J25" s="23"/>
      <c r="K25" s="24">
        <f t="shared" si="7"/>
        <v>27</v>
      </c>
      <c r="L25" s="22">
        <f t="shared" si="8"/>
        <v>36</v>
      </c>
      <c r="M25" s="35"/>
      <c r="N25" s="27">
        <v>7</v>
      </c>
      <c r="O25" s="23">
        <v>4</v>
      </c>
      <c r="P25" s="22">
        <f t="shared" si="9"/>
        <v>30</v>
      </c>
      <c r="Q25" s="35"/>
      <c r="R25" s="41">
        <v>0</v>
      </c>
      <c r="S25" s="21"/>
      <c r="T25" s="22">
        <f t="shared" si="10"/>
        <v>41</v>
      </c>
      <c r="U25" s="23"/>
      <c r="V25" s="23"/>
      <c r="W25" s="23"/>
      <c r="X25" s="22">
        <f t="shared" si="11"/>
        <v>41</v>
      </c>
      <c r="Y25" s="2">
        <v>3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customFormat="1" customHeight="1" spans="1:40">
      <c r="A26" s="18" t="s">
        <v>45</v>
      </c>
      <c r="B26" s="23">
        <v>44</v>
      </c>
      <c r="C26" s="42">
        <v>4</v>
      </c>
      <c r="D26" s="37">
        <v>1</v>
      </c>
      <c r="E26" s="21"/>
      <c r="F26" s="28">
        <f t="shared" si="6"/>
        <v>39</v>
      </c>
      <c r="G26" s="23">
        <v>1</v>
      </c>
      <c r="H26" s="23"/>
      <c r="I26" s="23">
        <v>2</v>
      </c>
      <c r="J26" s="23">
        <v>1</v>
      </c>
      <c r="K26" s="24">
        <f t="shared" si="7"/>
        <v>41</v>
      </c>
      <c r="L26" s="22">
        <f t="shared" si="8"/>
        <v>42</v>
      </c>
      <c r="M26" s="42">
        <v>4</v>
      </c>
      <c r="N26" s="43"/>
      <c r="O26" s="18">
        <v>0</v>
      </c>
      <c r="P26" s="28">
        <f t="shared" si="9"/>
        <v>40</v>
      </c>
      <c r="Q26" s="37">
        <v>1</v>
      </c>
      <c r="R26" s="44">
        <v>10</v>
      </c>
      <c r="S26" s="21"/>
      <c r="T26" s="28">
        <f t="shared" si="10"/>
        <v>33</v>
      </c>
      <c r="U26" s="23"/>
      <c r="V26" s="23">
        <v>1</v>
      </c>
      <c r="W26" s="23">
        <v>3</v>
      </c>
      <c r="X26" s="22">
        <f t="shared" si="11"/>
        <v>40</v>
      </c>
      <c r="Y26" s="2">
        <v>3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customFormat="1" ht="14.25" customHeight="1" spans="1:40">
      <c r="A27" s="18" t="s">
        <v>46</v>
      </c>
      <c r="B27" s="23">
        <v>43</v>
      </c>
      <c r="C27" s="35">
        <v>2</v>
      </c>
      <c r="D27" s="35">
        <v>1</v>
      </c>
      <c r="E27" s="21">
        <v>4</v>
      </c>
      <c r="F27" s="28">
        <f t="shared" si="6"/>
        <v>36</v>
      </c>
      <c r="G27" s="23">
        <v>2</v>
      </c>
      <c r="H27" s="23">
        <v>2</v>
      </c>
      <c r="I27" s="23">
        <v>3</v>
      </c>
      <c r="J27" s="23">
        <v>1</v>
      </c>
      <c r="K27" s="24">
        <f t="shared" si="7"/>
        <v>36</v>
      </c>
      <c r="L27" s="22">
        <f t="shared" si="8"/>
        <v>38</v>
      </c>
      <c r="M27" s="35">
        <v>2</v>
      </c>
      <c r="N27" s="30"/>
      <c r="O27" s="18">
        <v>3</v>
      </c>
      <c r="P27" s="28">
        <f t="shared" si="9"/>
        <v>38</v>
      </c>
      <c r="Q27" s="35">
        <v>1</v>
      </c>
      <c r="R27" s="41">
        <v>4</v>
      </c>
      <c r="S27" s="21">
        <v>3</v>
      </c>
      <c r="T27" s="28">
        <f t="shared" si="10"/>
        <v>35</v>
      </c>
      <c r="U27" s="23">
        <v>1</v>
      </c>
      <c r="V27" s="23">
        <v>2</v>
      </c>
      <c r="W27" s="23"/>
      <c r="X27" s="22">
        <f t="shared" si="11"/>
        <v>40</v>
      </c>
      <c r="Y27" s="26">
        <v>1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customFormat="1" ht="14.25" customHeight="1" spans="1:40">
      <c r="A28" s="18" t="s">
        <v>47</v>
      </c>
      <c r="B28" s="23">
        <v>47</v>
      </c>
      <c r="C28" s="35"/>
      <c r="D28" s="35"/>
      <c r="E28" s="21">
        <v>3</v>
      </c>
      <c r="F28" s="22">
        <f t="shared" si="6"/>
        <v>44</v>
      </c>
      <c r="G28" s="23">
        <v>1</v>
      </c>
      <c r="H28" s="23"/>
      <c r="I28" s="23">
        <v>1</v>
      </c>
      <c r="J28" s="23"/>
      <c r="K28" s="24">
        <f t="shared" si="7"/>
        <v>45</v>
      </c>
      <c r="L28" s="22">
        <f t="shared" si="8"/>
        <v>46</v>
      </c>
      <c r="M28" s="35"/>
      <c r="N28" s="30"/>
      <c r="O28" s="18">
        <v>1</v>
      </c>
      <c r="P28" s="22">
        <f t="shared" si="9"/>
        <v>46</v>
      </c>
      <c r="Q28" s="35"/>
      <c r="R28" s="41">
        <v>7</v>
      </c>
      <c r="S28" s="21">
        <v>3</v>
      </c>
      <c r="T28" s="28">
        <f t="shared" si="10"/>
        <v>37</v>
      </c>
      <c r="U28" s="23"/>
      <c r="V28" s="23">
        <v>1</v>
      </c>
      <c r="W28" s="23">
        <v>1</v>
      </c>
      <c r="X28" s="22">
        <f t="shared" si="11"/>
        <v>45</v>
      </c>
      <c r="Y28" s="26">
        <v>3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customFormat="1" customHeight="1" spans="1:40">
      <c r="A29" s="18" t="s">
        <v>48</v>
      </c>
      <c r="B29" s="19">
        <v>43</v>
      </c>
      <c r="C29" s="35"/>
      <c r="D29" s="35"/>
      <c r="E29" s="21"/>
      <c r="F29" s="22">
        <f t="shared" si="6"/>
        <v>43</v>
      </c>
      <c r="G29" s="23"/>
      <c r="H29" s="23">
        <v>1</v>
      </c>
      <c r="I29" s="23">
        <v>1</v>
      </c>
      <c r="J29" s="23">
        <v>3</v>
      </c>
      <c r="K29" s="24">
        <f t="shared" si="7"/>
        <v>41</v>
      </c>
      <c r="L29" s="22">
        <f t="shared" si="8"/>
        <v>39</v>
      </c>
      <c r="M29" s="35"/>
      <c r="N29" s="30"/>
      <c r="O29" s="18">
        <v>1</v>
      </c>
      <c r="P29" s="22">
        <f t="shared" si="9"/>
        <v>42</v>
      </c>
      <c r="Q29" s="35"/>
      <c r="R29" s="41">
        <v>4</v>
      </c>
      <c r="S29" s="21"/>
      <c r="T29" s="28">
        <f t="shared" si="10"/>
        <v>39</v>
      </c>
      <c r="U29" s="23"/>
      <c r="V29" s="23">
        <v>2</v>
      </c>
      <c r="W29" s="23">
        <v>1</v>
      </c>
      <c r="X29" s="22">
        <f t="shared" si="11"/>
        <v>40</v>
      </c>
      <c r="Y29" s="39" t="s">
        <v>49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customFormat="1" ht="14.25" customHeight="1" spans="1:40">
      <c r="A30" s="18" t="s">
        <v>55</v>
      </c>
      <c r="B30" s="18">
        <f>SUM(B3:B29)</f>
        <v>1048</v>
      </c>
      <c r="C30" s="18">
        <f>SUM(C3:C29)</f>
        <v>40</v>
      </c>
      <c r="D30" s="18">
        <f>SUM(D3:D29)</f>
        <v>21</v>
      </c>
      <c r="E30" s="18">
        <f>SUM(E3:E29)</f>
        <v>37</v>
      </c>
      <c r="F30" s="18">
        <f>SUM(F3:F29)</f>
        <v>950</v>
      </c>
      <c r="G30" s="18">
        <f t="shared" ref="G30:X30" si="12">SUM(G3:G29)</f>
        <v>23</v>
      </c>
      <c r="H30" s="18">
        <f t="shared" si="12"/>
        <v>15</v>
      </c>
      <c r="I30" s="18">
        <f t="shared" si="12"/>
        <v>34</v>
      </c>
      <c r="J30" s="18">
        <f t="shared" si="12"/>
        <v>12</v>
      </c>
      <c r="K30" s="18">
        <f t="shared" si="12"/>
        <v>976</v>
      </c>
      <c r="L30" s="18">
        <f t="shared" si="12"/>
        <v>998</v>
      </c>
      <c r="M30" s="18">
        <f t="shared" si="12"/>
        <v>41</v>
      </c>
      <c r="N30" s="18">
        <f t="shared" si="12"/>
        <v>32</v>
      </c>
      <c r="O30" s="18">
        <f t="shared" si="12"/>
        <v>17</v>
      </c>
      <c r="P30" s="18">
        <f t="shared" si="12"/>
        <v>958</v>
      </c>
      <c r="Q30" s="18">
        <f t="shared" si="12"/>
        <v>21</v>
      </c>
      <c r="R30" s="18">
        <f t="shared" si="12"/>
        <v>43</v>
      </c>
      <c r="S30" s="18">
        <f t="shared" si="12"/>
        <v>36</v>
      </c>
      <c r="T30" s="18">
        <f t="shared" si="12"/>
        <v>948</v>
      </c>
      <c r="U30" s="18">
        <f t="shared" si="12"/>
        <v>12</v>
      </c>
      <c r="V30" s="18">
        <f t="shared" si="12"/>
        <v>13</v>
      </c>
      <c r="W30" s="18">
        <f t="shared" si="12"/>
        <v>14</v>
      </c>
      <c r="X30" s="18">
        <f t="shared" si="12"/>
        <v>1009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customFormat="1" customHeight="1" spans="1:40">
      <c r="A31" s="4"/>
      <c r="B31" s="4"/>
      <c r="C31" s="45">
        <f>C30+D30+E30+F30</f>
        <v>1048</v>
      </c>
      <c r="D31" s="45"/>
      <c r="E31" s="45"/>
      <c r="F31" s="46"/>
      <c r="G31" s="47">
        <f>G30+H30+I30+K30</f>
        <v>1048</v>
      </c>
      <c r="H31" s="47"/>
      <c r="I31" s="47"/>
      <c r="J31" s="47"/>
      <c r="K31" s="47"/>
      <c r="L31" s="48"/>
      <c r="M31" s="49">
        <f>M30+N30+O30+P30</f>
        <v>1048</v>
      </c>
      <c r="N31" s="49"/>
      <c r="O31" s="49"/>
      <c r="P31" s="50"/>
      <c r="Q31" s="47">
        <f>Q30+R30+S30+T30</f>
        <v>1048</v>
      </c>
      <c r="R31" s="47"/>
      <c r="S31" s="47"/>
      <c r="T31" s="48"/>
      <c r="U31" s="47">
        <f>U30+V30+W30+X30</f>
        <v>1048</v>
      </c>
      <c r="V31" s="47"/>
      <c r="W31" s="47"/>
      <c r="X31" s="48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customFormat="1" customHeight="1" spans="1:40">
      <c r="A32" s="4"/>
      <c r="B32" s="4"/>
      <c r="C32" s="4"/>
      <c r="D32" s="4"/>
      <c r="E32" s="4"/>
      <c r="F32" s="5"/>
      <c r="G32" s="51">
        <f>G30+H30+J30+L30</f>
        <v>1048</v>
      </c>
      <c r="H32" s="51"/>
      <c r="I32" s="51"/>
      <c r="J32" s="51"/>
      <c r="K32" s="51"/>
      <c r="L32" s="51"/>
      <c r="M32" s="4"/>
      <c r="N32" s="4"/>
      <c r="O32" s="4"/>
      <c r="P32" s="5"/>
      <c r="Q32" s="4"/>
      <c r="R32" s="4"/>
      <c r="S32" s="4"/>
      <c r="T32" s="5"/>
      <c r="U32" s="4"/>
      <c r="V32" s="4"/>
      <c r="W32" s="4"/>
      <c r="X32" s="5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</sheetData>
  <mergeCells count="13">
    <mergeCell ref="C1:F1"/>
    <mergeCell ref="G1:L1"/>
    <mergeCell ref="M1:P1"/>
    <mergeCell ref="Q1:T1"/>
    <mergeCell ref="U1:X1"/>
    <mergeCell ref="C31:F31"/>
    <mergeCell ref="G31:L31"/>
    <mergeCell ref="M31:P31"/>
    <mergeCell ref="Q31:T31"/>
    <mergeCell ref="U31:X31"/>
    <mergeCell ref="G32:L32"/>
    <mergeCell ref="A1:A2"/>
    <mergeCell ref="B1:B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2b填表（第一节课）</vt:lpstr>
      <vt:lpstr>2b填表（第二节课）</vt:lpstr>
      <vt:lpstr>巡课表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张慧清</cp:lastModifiedBy>
  <dcterms:created xsi:type="dcterms:W3CDTF">2006-09-16T00:00:00Z</dcterms:created>
  <dcterms:modified xsi:type="dcterms:W3CDTF">2026-04-20T03:52:51Z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3686913AFC6F4B7FA9FA0E90034E01D7_13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